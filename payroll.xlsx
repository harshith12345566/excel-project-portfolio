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b3866033edf960/Desktop/"/>
    </mc:Choice>
  </mc:AlternateContent>
  <xr:revisionPtr revIDLastSave="0" documentId="8_{CF0AC121-CF4B-43FA-8192-F352B39F85FD}" xr6:coauthVersionLast="47" xr6:coauthVersionMax="47" xr10:uidLastSave="{00000000-0000-0000-0000-000000000000}"/>
  <bookViews>
    <workbookView xWindow="-108" yWindow="-108" windowWidth="23256" windowHeight="12456" xr2:uid="{652AB260-9E88-4500-8B59-D5C70EB19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47" i="1"/>
  <c r="G50" i="1"/>
  <c r="G49" i="1"/>
  <c r="G47" i="1"/>
  <c r="F50" i="1"/>
  <c r="F49" i="1"/>
  <c r="F47" i="1"/>
  <c r="E50" i="1"/>
  <c r="E49" i="1"/>
  <c r="E47" i="1"/>
  <c r="Y5" i="1"/>
  <c r="Z5" i="1" s="1"/>
  <c r="N45" i="1"/>
  <c r="O45" i="1"/>
  <c r="P45" i="1"/>
  <c r="Q45" i="1"/>
  <c r="R45" i="1"/>
  <c r="T5" i="1"/>
  <c r="U5" i="1" s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6" i="1"/>
  <c r="C47" i="1"/>
  <c r="D47" i="1"/>
  <c r="C48" i="1"/>
  <c r="D48" i="1"/>
  <c r="C49" i="1"/>
  <c r="D49" i="1"/>
  <c r="D50" i="1"/>
  <c r="O5" i="1"/>
  <c r="P5" i="1" s="1"/>
  <c r="Q5" i="1" s="1"/>
  <c r="R5" i="1" s="1"/>
  <c r="M45" i="1"/>
  <c r="W45" i="1" s="1"/>
  <c r="M44" i="1"/>
  <c r="W44" i="1" s="1"/>
  <c r="M43" i="1"/>
  <c r="W43" i="1" s="1"/>
  <c r="M42" i="1"/>
  <c r="W42" i="1" s="1"/>
  <c r="M41" i="1"/>
  <c r="W41" i="1" s="1"/>
  <c r="M40" i="1"/>
  <c r="W40" i="1" s="1"/>
  <c r="M39" i="1"/>
  <c r="W39" i="1" s="1"/>
  <c r="M38" i="1"/>
  <c r="W38" i="1" s="1"/>
  <c r="M37" i="1"/>
  <c r="W37" i="1" s="1"/>
  <c r="M36" i="1"/>
  <c r="W36" i="1" s="1"/>
  <c r="M35" i="1"/>
  <c r="W35" i="1" s="1"/>
  <c r="M34" i="1"/>
  <c r="W34" i="1" s="1"/>
  <c r="M33" i="1"/>
  <c r="W33" i="1" s="1"/>
  <c r="M32" i="1"/>
  <c r="W32" i="1" s="1"/>
  <c r="M31" i="1"/>
  <c r="W31" i="1" s="1"/>
  <c r="M30" i="1"/>
  <c r="W30" i="1" s="1"/>
  <c r="M29" i="1"/>
  <c r="W29" i="1" s="1"/>
  <c r="M28" i="1"/>
  <c r="W28" i="1" s="1"/>
  <c r="M27" i="1"/>
  <c r="W27" i="1" s="1"/>
  <c r="M26" i="1"/>
  <c r="W26" i="1" s="1"/>
  <c r="M25" i="1"/>
  <c r="W25" i="1" s="1"/>
  <c r="M24" i="1"/>
  <c r="W24" i="1" s="1"/>
  <c r="M23" i="1"/>
  <c r="W23" i="1" s="1"/>
  <c r="M22" i="1"/>
  <c r="W22" i="1" s="1"/>
  <c r="M21" i="1"/>
  <c r="W21" i="1" s="1"/>
  <c r="M20" i="1"/>
  <c r="W20" i="1" s="1"/>
  <c r="M19" i="1"/>
  <c r="W19" i="1" s="1"/>
  <c r="M18" i="1"/>
  <c r="W18" i="1" s="1"/>
  <c r="M17" i="1"/>
  <c r="W17" i="1" s="1"/>
  <c r="M16" i="1"/>
  <c r="W16" i="1" s="1"/>
  <c r="M15" i="1"/>
  <c r="W15" i="1" s="1"/>
  <c r="M14" i="1"/>
  <c r="W14" i="1" s="1"/>
  <c r="M13" i="1"/>
  <c r="W13" i="1" s="1"/>
  <c r="M12" i="1"/>
  <c r="W12" i="1" s="1"/>
  <c r="M11" i="1"/>
  <c r="W11" i="1" s="1"/>
  <c r="M10" i="1"/>
  <c r="W10" i="1" s="1"/>
  <c r="M9" i="1"/>
  <c r="W9" i="1" s="1"/>
  <c r="M8" i="1"/>
  <c r="W8" i="1" s="1"/>
  <c r="M7" i="1"/>
  <c r="W7" i="1" s="1"/>
  <c r="M6" i="1"/>
  <c r="W6" i="1" s="1"/>
  <c r="L7" i="1"/>
  <c r="V7" i="1" s="1"/>
  <c r="L8" i="1"/>
  <c r="V8" i="1" s="1"/>
  <c r="L9" i="1"/>
  <c r="V9" i="1" s="1"/>
  <c r="AA9" i="1" s="1"/>
  <c r="L10" i="1"/>
  <c r="V10" i="1" s="1"/>
  <c r="L11" i="1"/>
  <c r="V11" i="1" s="1"/>
  <c r="L12" i="1"/>
  <c r="V12" i="1" s="1"/>
  <c r="L13" i="1"/>
  <c r="V13" i="1" s="1"/>
  <c r="L14" i="1"/>
  <c r="V14" i="1" s="1"/>
  <c r="L15" i="1"/>
  <c r="V15" i="1" s="1"/>
  <c r="L16" i="1"/>
  <c r="V16" i="1" s="1"/>
  <c r="L17" i="1"/>
  <c r="V17" i="1" s="1"/>
  <c r="L18" i="1"/>
  <c r="V18" i="1" s="1"/>
  <c r="L19" i="1"/>
  <c r="V19" i="1" s="1"/>
  <c r="L20" i="1"/>
  <c r="V20" i="1" s="1"/>
  <c r="L21" i="1"/>
  <c r="V21" i="1" s="1"/>
  <c r="AA21" i="1" s="1"/>
  <c r="L22" i="1"/>
  <c r="V22" i="1" s="1"/>
  <c r="L23" i="1"/>
  <c r="V23" i="1" s="1"/>
  <c r="L24" i="1"/>
  <c r="V24" i="1" s="1"/>
  <c r="L25" i="1"/>
  <c r="V25" i="1" s="1"/>
  <c r="L26" i="1"/>
  <c r="V26" i="1" s="1"/>
  <c r="L27" i="1"/>
  <c r="V27" i="1" s="1"/>
  <c r="AA27" i="1" s="1"/>
  <c r="L28" i="1"/>
  <c r="V28" i="1" s="1"/>
  <c r="L29" i="1"/>
  <c r="V29" i="1" s="1"/>
  <c r="L30" i="1"/>
  <c r="V30" i="1" s="1"/>
  <c r="L31" i="1"/>
  <c r="V31" i="1" s="1"/>
  <c r="L32" i="1"/>
  <c r="V32" i="1" s="1"/>
  <c r="L33" i="1"/>
  <c r="V33" i="1" s="1"/>
  <c r="AA33" i="1" s="1"/>
  <c r="L34" i="1"/>
  <c r="V34" i="1" s="1"/>
  <c r="L35" i="1"/>
  <c r="V35" i="1" s="1"/>
  <c r="L36" i="1"/>
  <c r="V36" i="1" s="1"/>
  <c r="L37" i="1"/>
  <c r="V37" i="1" s="1"/>
  <c r="L38" i="1"/>
  <c r="V38" i="1" s="1"/>
  <c r="L39" i="1"/>
  <c r="V39" i="1" s="1"/>
  <c r="AA39" i="1" s="1"/>
  <c r="L40" i="1"/>
  <c r="V40" i="1" s="1"/>
  <c r="L41" i="1"/>
  <c r="V41" i="1" s="1"/>
  <c r="L42" i="1"/>
  <c r="V42" i="1" s="1"/>
  <c r="L43" i="1"/>
  <c r="V43" i="1" s="1"/>
  <c r="L44" i="1"/>
  <c r="V44" i="1" s="1"/>
  <c r="L45" i="1"/>
  <c r="V45" i="1" s="1"/>
  <c r="L6" i="1"/>
  <c r="V6" i="1" s="1"/>
  <c r="K7" i="1"/>
  <c r="U7" i="1" s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Z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Z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6" i="1"/>
  <c r="U6" i="1" s="1"/>
  <c r="J7" i="1"/>
  <c r="T7" i="1" s="1"/>
  <c r="J8" i="1"/>
  <c r="T8" i="1" s="1"/>
  <c r="J9" i="1"/>
  <c r="T9" i="1" s="1"/>
  <c r="J10" i="1"/>
  <c r="T10" i="1" s="1"/>
  <c r="J11" i="1"/>
  <c r="T11" i="1" s="1"/>
  <c r="J12" i="1"/>
  <c r="T12" i="1" s="1"/>
  <c r="J13" i="1"/>
  <c r="T13" i="1" s="1"/>
  <c r="J14" i="1"/>
  <c r="T14" i="1" s="1"/>
  <c r="J15" i="1"/>
  <c r="T15" i="1" s="1"/>
  <c r="J16" i="1"/>
  <c r="T16" i="1" s="1"/>
  <c r="J17" i="1"/>
  <c r="T17" i="1" s="1"/>
  <c r="J18" i="1"/>
  <c r="T18" i="1" s="1"/>
  <c r="J19" i="1"/>
  <c r="T19" i="1" s="1"/>
  <c r="J20" i="1"/>
  <c r="T20" i="1" s="1"/>
  <c r="J21" i="1"/>
  <c r="T21" i="1" s="1"/>
  <c r="J22" i="1"/>
  <c r="T22" i="1" s="1"/>
  <c r="J23" i="1"/>
  <c r="T23" i="1" s="1"/>
  <c r="J24" i="1"/>
  <c r="T24" i="1" s="1"/>
  <c r="J25" i="1"/>
  <c r="T25" i="1" s="1"/>
  <c r="J26" i="1"/>
  <c r="T26" i="1" s="1"/>
  <c r="J27" i="1"/>
  <c r="T27" i="1" s="1"/>
  <c r="J28" i="1"/>
  <c r="T28" i="1" s="1"/>
  <c r="J29" i="1"/>
  <c r="T29" i="1" s="1"/>
  <c r="J30" i="1"/>
  <c r="T30" i="1" s="1"/>
  <c r="J31" i="1"/>
  <c r="T31" i="1" s="1"/>
  <c r="J32" i="1"/>
  <c r="T32" i="1" s="1"/>
  <c r="J33" i="1"/>
  <c r="T33" i="1" s="1"/>
  <c r="J34" i="1"/>
  <c r="T34" i="1" s="1"/>
  <c r="J35" i="1"/>
  <c r="T35" i="1" s="1"/>
  <c r="J36" i="1"/>
  <c r="T36" i="1" s="1"/>
  <c r="J37" i="1"/>
  <c r="T37" i="1" s="1"/>
  <c r="J38" i="1"/>
  <c r="T38" i="1" s="1"/>
  <c r="J39" i="1"/>
  <c r="T39" i="1" s="1"/>
  <c r="J40" i="1"/>
  <c r="T40" i="1" s="1"/>
  <c r="J41" i="1"/>
  <c r="T41" i="1" s="1"/>
  <c r="J42" i="1"/>
  <c r="T42" i="1" s="1"/>
  <c r="J43" i="1"/>
  <c r="T43" i="1" s="1"/>
  <c r="J44" i="1"/>
  <c r="T44" i="1" s="1"/>
  <c r="J45" i="1"/>
  <c r="T45" i="1" s="1"/>
  <c r="J6" i="1"/>
  <c r="T6" i="1" s="1"/>
  <c r="J5" i="1"/>
  <c r="K5" i="1" s="1"/>
  <c r="L5" i="1" s="1"/>
  <c r="M5" i="1" s="1"/>
  <c r="E5" i="1"/>
  <c r="F5" i="1" s="1"/>
  <c r="G5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21" i="1"/>
  <c r="S21" i="1" s="1"/>
  <c r="I22" i="1"/>
  <c r="S22" i="1" s="1"/>
  <c r="I23" i="1"/>
  <c r="S23" i="1" s="1"/>
  <c r="I24" i="1"/>
  <c r="S24" i="1" s="1"/>
  <c r="I25" i="1"/>
  <c r="S25" i="1" s="1"/>
  <c r="I26" i="1"/>
  <c r="S26" i="1" s="1"/>
  <c r="I27" i="1"/>
  <c r="S27" i="1" s="1"/>
  <c r="I28" i="1"/>
  <c r="S28" i="1" s="1"/>
  <c r="I29" i="1"/>
  <c r="S29" i="1" s="1"/>
  <c r="I30" i="1"/>
  <c r="S30" i="1" s="1"/>
  <c r="I31" i="1"/>
  <c r="S31" i="1" s="1"/>
  <c r="I32" i="1"/>
  <c r="S32" i="1" s="1"/>
  <c r="I33" i="1"/>
  <c r="S33" i="1" s="1"/>
  <c r="I34" i="1"/>
  <c r="S34" i="1" s="1"/>
  <c r="I35" i="1"/>
  <c r="S35" i="1" s="1"/>
  <c r="I36" i="1"/>
  <c r="S36" i="1" s="1"/>
  <c r="I37" i="1"/>
  <c r="S37" i="1" s="1"/>
  <c r="I38" i="1"/>
  <c r="S38" i="1" s="1"/>
  <c r="I39" i="1"/>
  <c r="S39" i="1" s="1"/>
  <c r="I40" i="1"/>
  <c r="S40" i="1" s="1"/>
  <c r="I41" i="1"/>
  <c r="S41" i="1" s="1"/>
  <c r="I42" i="1"/>
  <c r="S42" i="1" s="1"/>
  <c r="I43" i="1"/>
  <c r="S43" i="1" s="1"/>
  <c r="I44" i="1"/>
  <c r="S44" i="1" s="1"/>
  <c r="I45" i="1"/>
  <c r="S45" i="1" s="1"/>
  <c r="I6" i="1"/>
  <c r="S6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6" i="1"/>
  <c r="Z21" i="1" l="1"/>
  <c r="Z22" i="1"/>
  <c r="Z33" i="1"/>
  <c r="Z36" i="1"/>
  <c r="AB15" i="1"/>
  <c r="Y22" i="1"/>
  <c r="Y9" i="1"/>
  <c r="Y19" i="1"/>
  <c r="AB9" i="1"/>
  <c r="Y42" i="1"/>
  <c r="AA14" i="1"/>
  <c r="AB22" i="1"/>
  <c r="AB34" i="1"/>
  <c r="AA25" i="1"/>
  <c r="Y40" i="1"/>
  <c r="Y34" i="1"/>
  <c r="Y10" i="1"/>
  <c r="Z14" i="1"/>
  <c r="Y21" i="1"/>
  <c r="Y31" i="1"/>
  <c r="Y30" i="1"/>
  <c r="Z6" i="1"/>
  <c r="AA38" i="1"/>
  <c r="AA26" i="1"/>
  <c r="AB10" i="1"/>
  <c r="AB11" i="1"/>
  <c r="AA23" i="1"/>
  <c r="AA11" i="1"/>
  <c r="AA22" i="1"/>
  <c r="Z29" i="1"/>
  <c r="Z17" i="1"/>
  <c r="AA45" i="1"/>
  <c r="Y29" i="1"/>
  <c r="Y12" i="1"/>
  <c r="Y35" i="1"/>
  <c r="Y23" i="1"/>
  <c r="Y11" i="1"/>
  <c r="Z15" i="1"/>
  <c r="Z20" i="1"/>
  <c r="Y36" i="1"/>
  <c r="AB18" i="1"/>
  <c r="AB30" i="1"/>
  <c r="AB42" i="1"/>
  <c r="Y41" i="1"/>
  <c r="Z37" i="1"/>
  <c r="Z13" i="1"/>
  <c r="Y17" i="1"/>
  <c r="AB27" i="1"/>
  <c r="Y24" i="1"/>
  <c r="Z24" i="1"/>
  <c r="Z12" i="1"/>
  <c r="AB14" i="1"/>
  <c r="Z23" i="1"/>
  <c r="Z11" i="1"/>
  <c r="AB45" i="1"/>
  <c r="Z31" i="1"/>
  <c r="Y26" i="1"/>
  <c r="Y37" i="1"/>
  <c r="Y18" i="1"/>
  <c r="AB13" i="1"/>
  <c r="AB37" i="1"/>
  <c r="Z40" i="1"/>
  <c r="Z28" i="1"/>
  <c r="Z16" i="1"/>
  <c r="AA20" i="1"/>
  <c r="AA8" i="1"/>
  <c r="AB28" i="1"/>
  <c r="AB7" i="1"/>
  <c r="Z7" i="1"/>
  <c r="AA19" i="1"/>
  <c r="AB29" i="1"/>
  <c r="Y39" i="1"/>
  <c r="Y38" i="1"/>
  <c r="AA18" i="1"/>
  <c r="Z43" i="1"/>
  <c r="AB25" i="1"/>
  <c r="AA40" i="1"/>
  <c r="AA28" i="1"/>
  <c r="AA16" i="1"/>
  <c r="Y7" i="1"/>
  <c r="Z38" i="1"/>
  <c r="Z45" i="1"/>
  <c r="Y44" i="1"/>
  <c r="Y8" i="1"/>
  <c r="AB23" i="1"/>
  <c r="AA15" i="1"/>
  <c r="AA37" i="1"/>
  <c r="AA41" i="1"/>
  <c r="R47" i="1"/>
  <c r="AB36" i="1"/>
  <c r="E48" i="1"/>
  <c r="Z25" i="1"/>
  <c r="Y20" i="1"/>
  <c r="AB35" i="1"/>
  <c r="X34" i="1"/>
  <c r="X10" i="1"/>
  <c r="Y16" i="1"/>
  <c r="Z44" i="1"/>
  <c r="Z32" i="1"/>
  <c r="Z8" i="1"/>
  <c r="AA36" i="1"/>
  <c r="AA24" i="1"/>
  <c r="AA12" i="1"/>
  <c r="AB12" i="1"/>
  <c r="Z9" i="1"/>
  <c r="Y32" i="1"/>
  <c r="Y43" i="1"/>
  <c r="AB33" i="1"/>
  <c r="Z10" i="1"/>
  <c r="Z34" i="1"/>
  <c r="Z19" i="1"/>
  <c r="AA35" i="1"/>
  <c r="Z42" i="1"/>
  <c r="Z30" i="1"/>
  <c r="Z18" i="1"/>
  <c r="AA34" i="1"/>
  <c r="AA10" i="1"/>
  <c r="Z35" i="1"/>
  <c r="Z26" i="1"/>
  <c r="AB21" i="1"/>
  <c r="Z41" i="1"/>
  <c r="AA5" i="1"/>
  <c r="AB24" i="1"/>
  <c r="W49" i="1"/>
  <c r="V50" i="1"/>
  <c r="AA6" i="1"/>
  <c r="V49" i="1"/>
  <c r="V47" i="1"/>
  <c r="W47" i="1"/>
  <c r="AB6" i="1"/>
  <c r="Y28" i="1"/>
  <c r="Y15" i="1"/>
  <c r="AB26" i="1"/>
  <c r="W50" i="1"/>
  <c r="Y14" i="1"/>
  <c r="O47" i="1"/>
  <c r="AA31" i="1"/>
  <c r="Y13" i="1"/>
  <c r="AB16" i="1"/>
  <c r="AB40" i="1"/>
  <c r="AA43" i="1"/>
  <c r="AB41" i="1"/>
  <c r="AA7" i="1"/>
  <c r="T50" i="1"/>
  <c r="T49" i="1"/>
  <c r="Y6" i="1"/>
  <c r="T48" i="1"/>
  <c r="AA30" i="1"/>
  <c r="V5" i="1"/>
  <c r="U48" i="1"/>
  <c r="AA29" i="1"/>
  <c r="P49" i="1"/>
  <c r="P48" i="1"/>
  <c r="P47" i="1"/>
  <c r="P50" i="1"/>
  <c r="AB38" i="1"/>
  <c r="Q50" i="1"/>
  <c r="Q49" i="1"/>
  <c r="Q48" i="1"/>
  <c r="Q47" i="1"/>
  <c r="Y27" i="1"/>
  <c r="AB39" i="1"/>
  <c r="AA32" i="1"/>
  <c r="AA44" i="1"/>
  <c r="AB17" i="1"/>
  <c r="AA42" i="1"/>
  <c r="Y25" i="1"/>
  <c r="AA17" i="1"/>
  <c r="T47" i="1"/>
  <c r="AB19" i="1"/>
  <c r="AB31" i="1"/>
  <c r="AB43" i="1"/>
  <c r="AA13" i="1"/>
  <c r="R50" i="1"/>
  <c r="R49" i="1"/>
  <c r="Y45" i="1"/>
  <c r="H5" i="1"/>
  <c r="H48" i="1" s="1"/>
  <c r="G48" i="1"/>
  <c r="U50" i="1"/>
  <c r="U49" i="1"/>
  <c r="U47" i="1"/>
  <c r="F48" i="1"/>
  <c r="O50" i="1"/>
  <c r="O49" i="1"/>
  <c r="O48" i="1"/>
  <c r="Y33" i="1"/>
  <c r="AB8" i="1"/>
  <c r="AB20" i="1"/>
  <c r="AB32" i="1"/>
  <c r="AB44" i="1"/>
  <c r="R48" i="1"/>
  <c r="N48" i="1"/>
  <c r="S50" i="1"/>
  <c r="N50" i="1"/>
  <c r="N47" i="1"/>
  <c r="S48" i="1"/>
  <c r="N49" i="1"/>
  <c r="X19" i="1"/>
  <c r="S47" i="1"/>
  <c r="S49" i="1"/>
  <c r="X38" i="1"/>
  <c r="X26" i="1"/>
  <c r="X35" i="1"/>
  <c r="X23" i="1"/>
  <c r="X11" i="1"/>
  <c r="X45" i="1"/>
  <c r="X33" i="1"/>
  <c r="X21" i="1"/>
  <c r="X9" i="1"/>
  <c r="X44" i="1"/>
  <c r="X32" i="1"/>
  <c r="X20" i="1"/>
  <c r="X8" i="1"/>
  <c r="X36" i="1"/>
  <c r="X24" i="1"/>
  <c r="X12" i="1"/>
  <c r="X22" i="1"/>
  <c r="X18" i="1"/>
  <c r="X43" i="1"/>
  <c r="X31" i="1"/>
  <c r="X7" i="1"/>
  <c r="X42" i="1"/>
  <c r="X30" i="1"/>
  <c r="X40" i="1"/>
  <c r="X28" i="1"/>
  <c r="X16" i="1"/>
  <c r="X39" i="1"/>
  <c r="X27" i="1"/>
  <c r="X15" i="1"/>
  <c r="X37" i="1"/>
  <c r="X25" i="1"/>
  <c r="X13" i="1"/>
  <c r="X41" i="1"/>
  <c r="X29" i="1"/>
  <c r="X14" i="1"/>
  <c r="X17" i="1"/>
  <c r="X6" i="1"/>
  <c r="AC9" i="1" l="1"/>
  <c r="AC22" i="1"/>
  <c r="AC10" i="1"/>
  <c r="AC37" i="1"/>
  <c r="AC45" i="1"/>
  <c r="AC23" i="1"/>
  <c r="AC25" i="1"/>
  <c r="AC11" i="1"/>
  <c r="AC29" i="1"/>
  <c r="Z47" i="1"/>
  <c r="AC18" i="1"/>
  <c r="AC38" i="1"/>
  <c r="AC35" i="1"/>
  <c r="AC26" i="1"/>
  <c r="AC20" i="1"/>
  <c r="Z48" i="1"/>
  <c r="AC42" i="1"/>
  <c r="AC44" i="1"/>
  <c r="AC19" i="1"/>
  <c r="AC34" i="1"/>
  <c r="AC36" i="1"/>
  <c r="Z49" i="1"/>
  <c r="AC30" i="1"/>
  <c r="AC12" i="1"/>
  <c r="AC24" i="1"/>
  <c r="Z50" i="1"/>
  <c r="AC14" i="1"/>
  <c r="AC32" i="1"/>
  <c r="AC41" i="1"/>
  <c r="AC31" i="1"/>
  <c r="AC21" i="1"/>
  <c r="AC7" i="1"/>
  <c r="AC13" i="1"/>
  <c r="AC27" i="1"/>
  <c r="AC39" i="1"/>
  <c r="Y50" i="1"/>
  <c r="Y49" i="1"/>
  <c r="Y47" i="1"/>
  <c r="AB47" i="1"/>
  <c r="AB50" i="1"/>
  <c r="AB49" i="1"/>
  <c r="AC43" i="1"/>
  <c r="W5" i="1"/>
  <c r="W48" i="1" s="1"/>
  <c r="V48" i="1"/>
  <c r="AC15" i="1"/>
  <c r="AC16" i="1"/>
  <c r="AC6" i="1"/>
  <c r="AC28" i="1"/>
  <c r="AC8" i="1"/>
  <c r="AC33" i="1"/>
  <c r="AA50" i="1"/>
  <c r="AA49" i="1"/>
  <c r="AA47" i="1"/>
  <c r="AC17" i="1"/>
  <c r="AC40" i="1"/>
  <c r="Y48" i="1"/>
  <c r="AB5" i="1"/>
  <c r="AB48" i="1" s="1"/>
  <c r="AA48" i="1"/>
  <c r="X48" i="1"/>
  <c r="X50" i="1"/>
  <c r="X49" i="1"/>
  <c r="X47" i="1"/>
  <c r="AC50" i="1" l="1"/>
  <c r="AC49" i="1"/>
  <c r="AC48" i="1"/>
  <c r="AC47" i="1"/>
</calcChain>
</file>

<file path=xl/sharedStrings.xml><?xml version="1.0" encoding="utf-8"?>
<sst xmlns="http://schemas.openxmlformats.org/spreadsheetml/2006/main" count="97" uniqueCount="95">
  <si>
    <t>Last Name</t>
  </si>
  <si>
    <t>First Name</t>
  </si>
  <si>
    <t>Hourly Wage</t>
  </si>
  <si>
    <t>Hours Worked</t>
  </si>
  <si>
    <t>Sharma</t>
  </si>
  <si>
    <t>Aarav</t>
  </si>
  <si>
    <t>Verma</t>
  </si>
  <si>
    <t>Vivaan</t>
  </si>
  <si>
    <t>Reddy</t>
  </si>
  <si>
    <t>Aditya</t>
  </si>
  <si>
    <t>Iyer</t>
  </si>
  <si>
    <t>Ananya</t>
  </si>
  <si>
    <t>Nair</t>
  </si>
  <si>
    <t>Diya</t>
  </si>
  <si>
    <t>Patel</t>
  </si>
  <si>
    <t>Krish</t>
  </si>
  <si>
    <t>Singh</t>
  </si>
  <si>
    <t>Arjun</t>
  </si>
  <si>
    <t>Gupta</t>
  </si>
  <si>
    <t>Kavya</t>
  </si>
  <si>
    <t>Mehta</t>
  </si>
  <si>
    <t>Ishaan</t>
  </si>
  <si>
    <t>Rao</t>
  </si>
  <si>
    <t>Sneha</t>
  </si>
  <si>
    <t>Choudhary</t>
  </si>
  <si>
    <t>Vihaan</t>
  </si>
  <si>
    <t>Kulkarni</t>
  </si>
  <si>
    <t>Aditi</t>
  </si>
  <si>
    <t>Joshi</t>
  </si>
  <si>
    <t>Rohan</t>
  </si>
  <si>
    <t>Menon</t>
  </si>
  <si>
    <t>Meera</t>
  </si>
  <si>
    <t>Bansal</t>
  </si>
  <si>
    <t>Aryan</t>
  </si>
  <si>
    <t>Yadav</t>
  </si>
  <si>
    <t>Saanvi</t>
  </si>
  <si>
    <t>Pillai</t>
  </si>
  <si>
    <t>Rahul</t>
  </si>
  <si>
    <t>Mishra</t>
  </si>
  <si>
    <t>Pooja</t>
  </si>
  <si>
    <t>Deshmukh</t>
  </si>
  <si>
    <t>Karan</t>
  </si>
  <si>
    <t>Kapoor</t>
  </si>
  <si>
    <t>Siya</t>
  </si>
  <si>
    <t>Malhotra</t>
  </si>
  <si>
    <t>Dev</t>
  </si>
  <si>
    <t>Trivedi</t>
  </si>
  <si>
    <t>Priya</t>
  </si>
  <si>
    <t>Shetty</t>
  </si>
  <si>
    <t>Neha</t>
  </si>
  <si>
    <t>Saxena</t>
  </si>
  <si>
    <t>Reyansh</t>
  </si>
  <si>
    <t>Bhatt</t>
  </si>
  <si>
    <t>Tanvi</t>
  </si>
  <si>
    <t>Dubey</t>
  </si>
  <si>
    <t>Harsh</t>
  </si>
  <si>
    <t>Agrawal</t>
  </si>
  <si>
    <t>Nidhi</t>
  </si>
  <si>
    <t>Naidu</t>
  </si>
  <si>
    <t>Akash</t>
  </si>
  <si>
    <t>Chauhan</t>
  </si>
  <si>
    <t>Ritika</t>
  </si>
  <si>
    <t>Thakur</t>
  </si>
  <si>
    <t>Manav</t>
  </si>
  <si>
    <t>Banerjee</t>
  </si>
  <si>
    <t>Shreya</t>
  </si>
  <si>
    <t>Pawar</t>
  </si>
  <si>
    <t>Varun</t>
  </si>
  <si>
    <t>Tiwari</t>
  </si>
  <si>
    <t>Muskan</t>
  </si>
  <si>
    <t>Ghosh</t>
  </si>
  <si>
    <t>Ayush</t>
  </si>
  <si>
    <t>Khatri</t>
  </si>
  <si>
    <t>Riya</t>
  </si>
  <si>
    <t>Jain</t>
  </si>
  <si>
    <t>Siddharth</t>
  </si>
  <si>
    <t>Pande</t>
  </si>
  <si>
    <t>Alok</t>
  </si>
  <si>
    <t>Chatterjee</t>
  </si>
  <si>
    <t>Isha</t>
  </si>
  <si>
    <t>Solanki</t>
  </si>
  <si>
    <t>Yash</t>
  </si>
  <si>
    <t>Kishan</t>
  </si>
  <si>
    <t>Max</t>
  </si>
  <si>
    <t>Min</t>
  </si>
  <si>
    <t>Average</t>
  </si>
  <si>
    <t>Total</t>
  </si>
  <si>
    <t>Overtime Hours</t>
  </si>
  <si>
    <t>Overtime Bonus</t>
  </si>
  <si>
    <t>Final pay</t>
  </si>
  <si>
    <t>January</t>
  </si>
  <si>
    <t>Employee Payroll Management System</t>
  </si>
  <si>
    <t>January 2026 Payroll Report</t>
  </si>
  <si>
    <t>Prepared by: Harshith Nambur</t>
  </si>
  <si>
    <t>Weekly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</si>
</sst>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[$₹-4009]\ * #,##0.00_ ;_ [$₹-4009]\ * \-#,##0.00_ ;_ [$₹-4009]\ * &quot;-&quot;??_ ;_ @_ "/>
    <numFmt numFmtId="17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175" fontId="0" fillId="0" borderId="0" xfId="0" applyNumberFormat="1"/>
    <xf numFmtId="0" fontId="0" fillId="2" borderId="0" xfId="0" applyFill="1"/>
    <xf numFmtId="0" fontId="2" fillId="3" borderId="0" xfId="0" applyFont="1" applyFill="1"/>
    <xf numFmtId="168" fontId="0" fillId="4" borderId="0" xfId="0" applyNumberFormat="1" applyFill="1"/>
    <xf numFmtId="168" fontId="0" fillId="5" borderId="0" xfId="0" applyNumberFormat="1" applyFill="1"/>
    <xf numFmtId="168" fontId="0" fillId="6" borderId="0" xfId="0" applyNumberFormat="1" applyFill="1"/>
    <xf numFmtId="168" fontId="0" fillId="8" borderId="0" xfId="0" applyNumberFormat="1" applyFill="1"/>
    <xf numFmtId="0" fontId="3" fillId="0" borderId="0" xfId="0" applyFont="1"/>
    <xf numFmtId="0" fontId="4" fillId="0" borderId="0" xfId="0" applyFont="1"/>
    <xf numFmtId="0" fontId="4" fillId="9" borderId="0" xfId="0" applyFont="1" applyFill="1"/>
    <xf numFmtId="16" fontId="4" fillId="9" borderId="0" xfId="0" applyNumberFormat="1" applyFont="1" applyFill="1"/>
    <xf numFmtId="0" fontId="1" fillId="9" borderId="0" xfId="0" applyFont="1" applyFill="1"/>
    <xf numFmtId="0" fontId="3" fillId="7" borderId="0" xfId="0" applyFont="1" applyFill="1"/>
    <xf numFmtId="0" fontId="0" fillId="10" borderId="0" xfId="0" applyFont="1" applyFill="1" applyAlignment="1">
      <alignment horizontal="left" vertical="center" wrapText="1"/>
    </xf>
    <xf numFmtId="168" fontId="0" fillId="10" borderId="0" xfId="0" applyNumberFormat="1" applyFill="1"/>
    <xf numFmtId="0" fontId="0" fillId="10" borderId="0" xfId="0" applyFill="1" applyAlignment="1">
      <alignment vertical="center" wrapText="1"/>
    </xf>
    <xf numFmtId="168" fontId="0" fillId="11" borderId="0" xfId="0" applyNumberFormat="1" applyFill="1"/>
    <xf numFmtId="168" fontId="0" fillId="12" borderId="0" xfId="0" applyNumberFormat="1" applyFill="1"/>
    <xf numFmtId="175" fontId="0" fillId="2" borderId="0" xfId="0" applyNumberFormat="1" applyFill="1"/>
    <xf numFmtId="168" fontId="0" fillId="13" borderId="0" xfId="0" applyNumberFormat="1" applyFill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Weekly</a:t>
            </a:r>
            <a:r>
              <a:rPr lang="en-IN" sz="1400" baseline="0"/>
              <a:t> Salary 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MAX Salary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Sheet1!$N$47:$R$47</c:f>
              <c:numCache>
                <c:formatCode>_ [$₹-4009]\ * #,##0.00_ ;_ [$₹-4009]\ * \-#,##0.00_ ;_ [$₹-4009]\ * "-"??_ ;_ @_ </c:formatCode>
                <c:ptCount val="5"/>
                <c:pt idx="0">
                  <c:v>38400</c:v>
                </c:pt>
                <c:pt idx="1">
                  <c:v>39200</c:v>
                </c:pt>
                <c:pt idx="2">
                  <c:v>40000</c:v>
                </c:pt>
                <c:pt idx="3">
                  <c:v>39200</c:v>
                </c:pt>
                <c:pt idx="4">
                  <c:v>40800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4BD1-BC8D-E657A9289080}"/>
            </c:ext>
          </c:extLst>
        </c:ser>
        <c:ser>
          <c:idx val="1"/>
          <c:order val="1"/>
          <c:tx>
            <c:v>MIN SALARY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Sheet1!$N$48:$R$48</c:f>
              <c:numCache>
                <c:formatCode>_ [$₹-4009]\ * #,##0.00_ ;_ [$₹-4009]\ * \-#,##0.00_ ;_ [$₹-4009]\ * "-"??_ ;_ @_ </c:formatCode>
                <c:ptCount val="5"/>
                <c:pt idx="0">
                  <c:v>16450</c:v>
                </c:pt>
                <c:pt idx="1">
                  <c:v>16920</c:v>
                </c:pt>
                <c:pt idx="2">
                  <c:v>17390</c:v>
                </c:pt>
                <c:pt idx="3">
                  <c:v>16920</c:v>
                </c:pt>
                <c:pt idx="4">
                  <c:v>17390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6-4BD1-BC8D-E657A9289080}"/>
            </c:ext>
          </c:extLst>
        </c:ser>
        <c:ser>
          <c:idx val="2"/>
          <c:order val="2"/>
          <c:tx>
            <c:v>AVG SALARY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Sheet1!$N$49:$R$49</c:f>
              <c:numCache>
                <c:formatCode>_ [$₹-4009]\ * #,##0.00_ ;_ [$₹-4009]\ * \-#,##0.00_ ;_ [$₹-4009]\ * "-"??_ ;_ @_ </c:formatCode>
                <c:ptCount val="5"/>
                <c:pt idx="0">
                  <c:v>24764.25</c:v>
                </c:pt>
                <c:pt idx="1">
                  <c:v>25263.25</c:v>
                </c:pt>
                <c:pt idx="2">
                  <c:v>25867</c:v>
                </c:pt>
                <c:pt idx="3">
                  <c:v>25251.5</c:v>
                </c:pt>
                <c:pt idx="4">
                  <c:v>26232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6-4BD1-BC8D-E657A9289080}"/>
            </c:ext>
          </c:extLst>
        </c:ser>
        <c:ser>
          <c:idx val="3"/>
          <c:order val="3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Sheet1!$N$50:$R$50</c:f>
              <c:numCache>
                <c:formatCode>_ [$₹-4009]\ * #,##0.00_ ;_ [$₹-4009]\ * \-#,##0.00_ ;_ [$₹-4009]\ * "-"??_ ;_ @_ </c:formatCode>
                <c:ptCount val="5"/>
                <c:pt idx="0">
                  <c:v>990570</c:v>
                </c:pt>
                <c:pt idx="1">
                  <c:v>1010530</c:v>
                </c:pt>
                <c:pt idx="2">
                  <c:v>1034680</c:v>
                </c:pt>
                <c:pt idx="3">
                  <c:v>1010060</c:v>
                </c:pt>
                <c:pt idx="4">
                  <c:v>1049280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36-4BD1-BC8D-E657A928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503728"/>
        <c:axId val="586504208"/>
      </c:barChart>
      <c:catAx>
        <c:axId val="58650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4208"/>
        <c:crosses val="autoZero"/>
        <c:auto val="1"/>
        <c:lblAlgn val="ctr"/>
        <c:lblOffset val="100"/>
        <c:noMultiLvlLbl val="0"/>
      </c:catAx>
      <c:valAx>
        <c:axId val="5865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OVERTIME SALARY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MAX OVERTIME SALARY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Sheet1!$S$47:$W$47</c:f>
              <c:numCache>
                <c:formatCode>_ [$₹-4009]\ * #,##0.00_ ;_ [$₹-4009]\ * \-#,##0.00_ ;_ [$₹-4009]\ * "-"??_ ;_ @_ </c:formatCode>
                <c:ptCount val="5"/>
                <c:pt idx="0">
                  <c:v>3200</c:v>
                </c:pt>
                <c:pt idx="1">
                  <c:v>3600</c:v>
                </c:pt>
                <c:pt idx="2">
                  <c:v>4000</c:v>
                </c:pt>
                <c:pt idx="3">
                  <c:v>3600</c:v>
                </c:pt>
                <c:pt idx="4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9-4C0D-A458-66EE6BB3864A}"/>
            </c:ext>
          </c:extLst>
        </c:ser>
        <c:ser>
          <c:idx val="1"/>
          <c:order val="1"/>
          <c:tx>
            <c:v>MIN OVERTIME SALARY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Sheet1!$S$48:$W$48</c:f>
              <c:numCache>
                <c:formatCode>_ [$₹-4009]\ * #,##0.00_ ;_ [$₹-4009]\ * \-#,##0.00_ ;_ [$₹-4009]\ * "-"??_ ;_ @_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79-4C0D-A458-66EE6BB3864A}"/>
            </c:ext>
          </c:extLst>
        </c:ser>
        <c:ser>
          <c:idx val="2"/>
          <c:order val="2"/>
          <c:tx>
            <c:v>AVG OVERTIME SALARY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Sheet1!$S$49:$W$49</c:f>
              <c:numCache>
                <c:formatCode>_ [$₹-4009]\ * #,##0.00_ ;_ [$₹-4009]\ * \-#,##0.00_ ;_ [$₹-4009]\ * "-"??_ ;_ @_ </c:formatCode>
                <c:ptCount val="5"/>
                <c:pt idx="0">
                  <c:v>668.4375</c:v>
                </c:pt>
                <c:pt idx="1">
                  <c:v>833.125</c:v>
                </c:pt>
                <c:pt idx="2">
                  <c:v>1054.5</c:v>
                </c:pt>
                <c:pt idx="3">
                  <c:v>826.375</c:v>
                </c:pt>
                <c:pt idx="4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79-4C0D-A458-66EE6BB3864A}"/>
            </c:ext>
          </c:extLst>
        </c:ser>
        <c:ser>
          <c:idx val="3"/>
          <c:order val="3"/>
          <c:tx>
            <c:v>TOTAL OVERTIME SALARY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Sheet1!$S$50:$W$50</c:f>
              <c:numCache>
                <c:formatCode>_ [$₹-4009]\ * #,##0.00_ ;_ [$₹-4009]\ * \-#,##0.00_ ;_ [$₹-4009]\ * "-"??_ ;_ @_ </c:formatCode>
                <c:ptCount val="5"/>
                <c:pt idx="0">
                  <c:v>26737.5</c:v>
                </c:pt>
                <c:pt idx="1">
                  <c:v>33325</c:v>
                </c:pt>
                <c:pt idx="2">
                  <c:v>42180</c:v>
                </c:pt>
                <c:pt idx="3">
                  <c:v>33055</c:v>
                </c:pt>
                <c:pt idx="4">
                  <c:v>49480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79-4C0D-A458-66EE6BB38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503728"/>
        <c:axId val="586504208"/>
      </c:barChart>
      <c:catAx>
        <c:axId val="58650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4208"/>
        <c:crosses val="autoZero"/>
        <c:auto val="1"/>
        <c:lblAlgn val="ctr"/>
        <c:lblOffset val="100"/>
        <c:noMultiLvlLbl val="0"/>
      </c:catAx>
      <c:valAx>
        <c:axId val="5865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FINAL</a:t>
            </a:r>
            <a:r>
              <a:rPr lang="en-IN" baseline="0"/>
              <a:t> PAYOUT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MAX SALARY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Sheet1!$X$47:$AB$47</c:f>
              <c:numCache>
                <c:formatCode>_ [$₹-4009]\ * #,##0.00_ ;_ [$₹-4009]\ * \-#,##0.00_ ;_ [$₹-4009]\ * "-"??_ ;_ @_ </c:formatCode>
                <c:ptCount val="5"/>
                <c:pt idx="0">
                  <c:v>41600</c:v>
                </c:pt>
                <c:pt idx="1">
                  <c:v>42800</c:v>
                </c:pt>
                <c:pt idx="2">
                  <c:v>44000</c:v>
                </c:pt>
                <c:pt idx="3">
                  <c:v>42800</c:v>
                </c:pt>
                <c:pt idx="4">
                  <c:v>45200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F9F-B88C-D40CC76F2CAA}"/>
            </c:ext>
          </c:extLst>
        </c:ser>
        <c:ser>
          <c:idx val="1"/>
          <c:order val="1"/>
          <c:tx>
            <c:v>MIN SALARY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Sheet1!$X$48:$AB$48</c:f>
              <c:numCache>
                <c:formatCode>_ [$₹-4009]\ * #,##0.00_ ;_ [$₹-4009]\ * \-#,##0.00_ ;_ [$₹-4009]\ * "-"??_ ;_ @_ </c:formatCode>
                <c:ptCount val="5"/>
                <c:pt idx="0">
                  <c:v>16450</c:v>
                </c:pt>
                <c:pt idx="1">
                  <c:v>16920</c:v>
                </c:pt>
                <c:pt idx="2">
                  <c:v>17390</c:v>
                </c:pt>
                <c:pt idx="3">
                  <c:v>16920</c:v>
                </c:pt>
                <c:pt idx="4">
                  <c:v>17390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F-4F9F-B88C-D40CC76F2CAA}"/>
            </c:ext>
          </c:extLst>
        </c:ser>
        <c:ser>
          <c:idx val="2"/>
          <c:order val="2"/>
          <c:tx>
            <c:v>AVG SALARY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Sheet1!$X$49:$AB$49</c:f>
              <c:numCache>
                <c:formatCode>_ [$₹-4009]\ * #,##0.00_ ;_ [$₹-4009]\ * \-#,##0.00_ ;_ [$₹-4009]\ * "-"??_ ;_ @_ </c:formatCode>
                <c:ptCount val="5"/>
                <c:pt idx="0">
                  <c:v>25432.6875</c:v>
                </c:pt>
                <c:pt idx="1">
                  <c:v>26096.375</c:v>
                </c:pt>
                <c:pt idx="2">
                  <c:v>26921.5</c:v>
                </c:pt>
                <c:pt idx="3">
                  <c:v>26077.875</c:v>
                </c:pt>
                <c:pt idx="4">
                  <c:v>27469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F-4F9F-B88C-D40CC76F2CAA}"/>
            </c:ext>
          </c:extLst>
        </c:ser>
        <c:ser>
          <c:idx val="3"/>
          <c:order val="3"/>
          <c:tx>
            <c:v>TOTAL SALARY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Sheet1!$X$50:$AB$50</c:f>
              <c:numCache>
                <c:formatCode>_ [$₹-4009]\ * #,##0.00_ ;_ [$₹-4009]\ * \-#,##0.00_ ;_ [$₹-4009]\ * "-"??_ ;_ @_ </c:formatCode>
                <c:ptCount val="5"/>
                <c:pt idx="0">
                  <c:v>1017307.5</c:v>
                </c:pt>
                <c:pt idx="1">
                  <c:v>1043855</c:v>
                </c:pt>
                <c:pt idx="2">
                  <c:v>1076860</c:v>
                </c:pt>
                <c:pt idx="3">
                  <c:v>1043115</c:v>
                </c:pt>
                <c:pt idx="4">
                  <c:v>1098760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3F-4F9F-B88C-D40CC76F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503728"/>
        <c:axId val="586504208"/>
      </c:barChart>
      <c:catAx>
        <c:axId val="58650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4208"/>
        <c:crosses val="autoZero"/>
        <c:auto val="1"/>
        <c:lblAlgn val="ctr"/>
        <c:lblOffset val="100"/>
        <c:noMultiLvlLbl val="0"/>
      </c:catAx>
      <c:valAx>
        <c:axId val="5865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3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50</xdr:row>
      <xdr:rowOff>36555</xdr:rowOff>
    </xdr:from>
    <xdr:to>
      <xdr:col>17</xdr:col>
      <xdr:colOff>1397000</xdr:colOff>
      <xdr:row>65</xdr:row>
      <xdr:rowOff>112755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53868-ADFE-78EA-C27D-D04AC274B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49</xdr:row>
      <xdr:rowOff>216244</xdr:rowOff>
    </xdr:from>
    <xdr:to>
      <xdr:col>23</xdr:col>
      <xdr:colOff>30892</xdr:colOff>
      <xdr:row>65</xdr:row>
      <xdr:rowOff>65903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066C74-E7E7-44D1-8FB2-7B5569194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51485</xdr:colOff>
      <xdr:row>50</xdr:row>
      <xdr:rowOff>0</xdr:rowOff>
    </xdr:from>
    <xdr:to>
      <xdr:col>27</xdr:col>
      <xdr:colOff>1441621</xdr:colOff>
      <xdr:row>65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1D317F-0AEF-4F92-9C9C-2061505D9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E61D-18CA-4C3B-88D0-D27E143073E9}">
  <dimension ref="A1:AC50"/>
  <sheetViews>
    <sheetView tabSelected="1" zoomScale="35" zoomScaleNormal="35" workbookViewId="0">
      <selection activeCell="Q31" sqref="Q31"/>
    </sheetView>
  </sheetViews>
  <sheetFormatPr defaultRowHeight="14.4" x14ac:dyDescent="0.3"/>
  <cols>
    <col min="1" max="1" width="14.88671875" customWidth="1"/>
    <col min="2" max="2" width="15.21875" customWidth="1"/>
    <col min="3" max="3" width="14.109375" customWidth="1"/>
    <col min="4" max="8" width="15.21875" customWidth="1"/>
    <col min="9" max="9" width="17.109375" customWidth="1"/>
    <col min="10" max="13" width="15.21875" customWidth="1"/>
    <col min="14" max="14" width="16" customWidth="1"/>
    <col min="15" max="15" width="17.88671875" customWidth="1"/>
    <col min="16" max="16" width="19.77734375" customWidth="1"/>
    <col min="17" max="18" width="20.5546875" customWidth="1"/>
    <col min="19" max="23" width="17.33203125" customWidth="1"/>
    <col min="24" max="24" width="20.109375" customWidth="1"/>
    <col min="25" max="25" width="19" customWidth="1"/>
    <col min="26" max="26" width="19.33203125" customWidth="1"/>
    <col min="27" max="27" width="18.21875" customWidth="1"/>
    <col min="28" max="28" width="21" customWidth="1"/>
    <col min="29" max="29" width="19.109375" customWidth="1"/>
    <col min="30" max="30" width="18.33203125" customWidth="1"/>
  </cols>
  <sheetData>
    <row r="1" spans="1:29" x14ac:dyDescent="0.3">
      <c r="A1" t="s">
        <v>91</v>
      </c>
    </row>
    <row r="2" spans="1:29" x14ac:dyDescent="0.3">
      <c r="A2" t="s">
        <v>92</v>
      </c>
    </row>
    <row r="3" spans="1:29" x14ac:dyDescent="0.3">
      <c r="A3" t="s">
        <v>93</v>
      </c>
    </row>
    <row r="4" spans="1:29" ht="18" x14ac:dyDescent="0.35">
      <c r="D4" s="10" t="s">
        <v>3</v>
      </c>
      <c r="E4" s="10"/>
      <c r="F4" s="10"/>
      <c r="G4" s="10"/>
      <c r="H4" s="10"/>
      <c r="I4" s="10" t="s">
        <v>87</v>
      </c>
      <c r="J4" s="10"/>
      <c r="K4" s="10"/>
      <c r="L4" s="10"/>
      <c r="M4" s="10"/>
      <c r="N4" s="10" t="s">
        <v>94</v>
      </c>
      <c r="O4" s="10"/>
      <c r="P4" s="10"/>
      <c r="Q4" s="10"/>
      <c r="R4" s="10"/>
      <c r="S4" s="10" t="s">
        <v>88</v>
      </c>
      <c r="X4" s="14" t="s">
        <v>86</v>
      </c>
      <c r="Y4" s="9"/>
      <c r="Z4" s="9"/>
      <c r="AA4" s="9"/>
      <c r="AB4" s="9"/>
      <c r="AC4" s="9" t="s">
        <v>89</v>
      </c>
    </row>
    <row r="5" spans="1:29" ht="18" x14ac:dyDescent="0.35">
      <c r="A5" s="11" t="s">
        <v>0</v>
      </c>
      <c r="B5" s="11" t="s">
        <v>1</v>
      </c>
      <c r="C5" s="11" t="s">
        <v>2</v>
      </c>
      <c r="D5" s="12">
        <v>46023</v>
      </c>
      <c r="E5" s="12">
        <f>D5+7</f>
        <v>46030</v>
      </c>
      <c r="F5" s="12">
        <f t="shared" ref="F5:G5" si="0">E5+7</f>
        <v>46037</v>
      </c>
      <c r="G5" s="12">
        <f t="shared" si="0"/>
        <v>46044</v>
      </c>
      <c r="H5" s="12">
        <f>G5+7</f>
        <v>46051</v>
      </c>
      <c r="I5" s="12">
        <v>46023</v>
      </c>
      <c r="J5" s="12">
        <f>I5+7</f>
        <v>46030</v>
      </c>
      <c r="K5" s="12">
        <f t="shared" ref="K5:M5" si="1">J5+7</f>
        <v>46037</v>
      </c>
      <c r="L5" s="12">
        <f t="shared" si="1"/>
        <v>46044</v>
      </c>
      <c r="M5" s="12">
        <f t="shared" si="1"/>
        <v>46051</v>
      </c>
      <c r="N5" s="12">
        <v>46023</v>
      </c>
      <c r="O5" s="12">
        <f>N5+7</f>
        <v>46030</v>
      </c>
      <c r="P5" s="12">
        <f t="shared" ref="P5:R5" si="2">O5+7</f>
        <v>46037</v>
      </c>
      <c r="Q5" s="12">
        <f t="shared" si="2"/>
        <v>46044</v>
      </c>
      <c r="R5" s="12">
        <f t="shared" si="2"/>
        <v>46051</v>
      </c>
      <c r="S5" s="12">
        <v>46023</v>
      </c>
      <c r="T5" s="12">
        <f>S5+7</f>
        <v>46030</v>
      </c>
      <c r="U5" s="12">
        <f t="shared" ref="U5:W5" si="3">T5+7</f>
        <v>46037</v>
      </c>
      <c r="V5" s="12">
        <f t="shared" si="3"/>
        <v>46044</v>
      </c>
      <c r="W5" s="12">
        <f t="shared" si="3"/>
        <v>46051</v>
      </c>
      <c r="X5" s="12">
        <v>46023</v>
      </c>
      <c r="Y5" s="12">
        <f>X5+7</f>
        <v>46030</v>
      </c>
      <c r="Z5" s="12">
        <f t="shared" ref="Z5:AB5" si="4">Y5+7</f>
        <v>46037</v>
      </c>
      <c r="AA5" s="12">
        <f t="shared" si="4"/>
        <v>46044</v>
      </c>
      <c r="AB5" s="12">
        <f t="shared" si="4"/>
        <v>46051</v>
      </c>
      <c r="AC5" s="13" t="s">
        <v>90</v>
      </c>
    </row>
    <row r="6" spans="1:29" x14ac:dyDescent="0.3">
      <c r="A6" s="15" t="s">
        <v>22</v>
      </c>
      <c r="B6" s="15" t="s">
        <v>82</v>
      </c>
      <c r="C6" s="16">
        <v>450</v>
      </c>
      <c r="D6" s="3">
        <v>38</v>
      </c>
      <c r="E6" s="3">
        <v>41</v>
      </c>
      <c r="F6" s="3">
        <v>40</v>
      </c>
      <c r="G6" s="3">
        <v>39</v>
      </c>
      <c r="H6" s="3">
        <v>42</v>
      </c>
      <c r="I6" s="4">
        <f>IF(D6&gt;40,D6-40,0)</f>
        <v>0</v>
      </c>
      <c r="J6" s="4">
        <f>IF(E6&gt;40,E6-40,0)</f>
        <v>1</v>
      </c>
      <c r="K6" s="4">
        <f>IF(F6&gt;40,F6-40,0)</f>
        <v>0</v>
      </c>
      <c r="L6" s="4">
        <f>IF(G6&gt;40,G6-40,0)</f>
        <v>0</v>
      </c>
      <c r="M6" s="4">
        <f>IF(H6&gt;40,H6-40,0)</f>
        <v>2</v>
      </c>
      <c r="N6" s="5">
        <f>C6*D6</f>
        <v>17100</v>
      </c>
      <c r="O6" s="5">
        <f>$C6*E6</f>
        <v>18450</v>
      </c>
      <c r="P6" s="5">
        <f>$C6*F6</f>
        <v>18000</v>
      </c>
      <c r="Q6" s="5">
        <f>$C6*G6</f>
        <v>17550</v>
      </c>
      <c r="R6" s="5">
        <f>$C6*H6</f>
        <v>18900</v>
      </c>
      <c r="S6" s="6">
        <f>0.5*C6*I6</f>
        <v>0</v>
      </c>
      <c r="T6" s="6">
        <f>0.5*$C6*J6</f>
        <v>225</v>
      </c>
      <c r="U6" s="6">
        <f>0.5*$C6*K6</f>
        <v>0</v>
      </c>
      <c r="V6" s="6">
        <f>0.5*$C6*L6</f>
        <v>0</v>
      </c>
      <c r="W6" s="6">
        <f>0.5*$C6*M6</f>
        <v>450</v>
      </c>
      <c r="X6" s="7">
        <f>S6+N6</f>
        <v>17100</v>
      </c>
      <c r="Y6" s="7">
        <f>T6+O6</f>
        <v>18675</v>
      </c>
      <c r="Z6" s="7">
        <f>U6+P6</f>
        <v>18000</v>
      </c>
      <c r="AA6" s="7">
        <f>V6+Q6</f>
        <v>17550</v>
      </c>
      <c r="AB6" s="7">
        <f>W6+R6</f>
        <v>19350</v>
      </c>
      <c r="AC6" s="8">
        <f>SUM(X6:AB6)</f>
        <v>90675</v>
      </c>
    </row>
    <row r="7" spans="1:29" x14ac:dyDescent="0.3">
      <c r="A7" s="17" t="s">
        <v>4</v>
      </c>
      <c r="B7" s="17" t="s">
        <v>5</v>
      </c>
      <c r="C7" s="16">
        <v>520</v>
      </c>
      <c r="D7" s="3">
        <v>40</v>
      </c>
      <c r="E7" s="3">
        <v>39</v>
      </c>
      <c r="F7" s="3">
        <v>42</v>
      </c>
      <c r="G7" s="3">
        <v>41</v>
      </c>
      <c r="H7" s="3">
        <v>40</v>
      </c>
      <c r="I7" s="4">
        <f>IF(D7&gt;40,D7-40,0)</f>
        <v>0</v>
      </c>
      <c r="J7" s="4">
        <f t="shared" ref="J7:J45" si="5">IF(E7&gt;40,E7-40,0)</f>
        <v>0</v>
      </c>
      <c r="K7" s="4">
        <f t="shared" ref="K7:K45" si="6">IF(F7&gt;40,F7-40,0)</f>
        <v>2</v>
      </c>
      <c r="L7" s="4">
        <f t="shared" ref="L7:M45" si="7">IF(G7&gt;40,G7-40,0)</f>
        <v>1</v>
      </c>
      <c r="M7" s="4">
        <f t="shared" si="7"/>
        <v>0</v>
      </c>
      <c r="N7" s="5">
        <f>C7*D7</f>
        <v>20800</v>
      </c>
      <c r="O7" s="5">
        <f>$C7*E7</f>
        <v>20280</v>
      </c>
      <c r="P7" s="5">
        <f>$C7*F7</f>
        <v>21840</v>
      </c>
      <c r="Q7" s="5">
        <f>$C7*G7</f>
        <v>21320</v>
      </c>
      <c r="R7" s="5">
        <f>$C7*H7</f>
        <v>20800</v>
      </c>
      <c r="S7" s="6">
        <f>0.5*C7*I7</f>
        <v>0</v>
      </c>
      <c r="T7" s="6">
        <f>0.5*$C7*J7</f>
        <v>0</v>
      </c>
      <c r="U7" s="6">
        <f>0.5*$C7*K7</f>
        <v>520</v>
      </c>
      <c r="V7" s="6">
        <f>0.5*$C7*L7</f>
        <v>260</v>
      </c>
      <c r="W7" s="6">
        <f>0.5*$C7*M7</f>
        <v>0</v>
      </c>
      <c r="X7" s="7">
        <f>S7+N7</f>
        <v>20800</v>
      </c>
      <c r="Y7" s="7">
        <f>T7+O7</f>
        <v>20280</v>
      </c>
      <c r="Z7" s="7">
        <f>U7+P7</f>
        <v>22360</v>
      </c>
      <c r="AA7" s="7">
        <f>V7+Q7</f>
        <v>21580</v>
      </c>
      <c r="AB7" s="7">
        <f>W7+R7</f>
        <v>20800</v>
      </c>
      <c r="AC7" s="8">
        <f>SUM(X7:AB7)</f>
        <v>105820</v>
      </c>
    </row>
    <row r="8" spans="1:29" x14ac:dyDescent="0.3">
      <c r="A8" s="17" t="s">
        <v>6</v>
      </c>
      <c r="B8" s="17" t="s">
        <v>7</v>
      </c>
      <c r="C8" s="16">
        <v>610</v>
      </c>
      <c r="D8" s="3">
        <v>42</v>
      </c>
      <c r="E8" s="3">
        <v>44</v>
      </c>
      <c r="F8" s="3">
        <v>45</v>
      </c>
      <c r="G8" s="3">
        <v>43</v>
      </c>
      <c r="H8" s="3">
        <v>46</v>
      </c>
      <c r="I8" s="4">
        <f>IF(D8&gt;40,D8-40,0)</f>
        <v>2</v>
      </c>
      <c r="J8" s="4">
        <f t="shared" si="5"/>
        <v>4</v>
      </c>
      <c r="K8" s="4">
        <f t="shared" si="6"/>
        <v>5</v>
      </c>
      <c r="L8" s="4">
        <f t="shared" si="7"/>
        <v>3</v>
      </c>
      <c r="M8" s="4">
        <f t="shared" si="7"/>
        <v>6</v>
      </c>
      <c r="N8" s="5">
        <f>C8*D8</f>
        <v>25620</v>
      </c>
      <c r="O8" s="5">
        <f>$C8*E8</f>
        <v>26840</v>
      </c>
      <c r="P8" s="5">
        <f>$C8*F8</f>
        <v>27450</v>
      </c>
      <c r="Q8" s="5">
        <f>$C8*G8</f>
        <v>26230</v>
      </c>
      <c r="R8" s="5">
        <f>$C8*H8</f>
        <v>28060</v>
      </c>
      <c r="S8" s="6">
        <f>0.5*C8*I8</f>
        <v>610</v>
      </c>
      <c r="T8" s="6">
        <f>0.5*$C8*J8</f>
        <v>1220</v>
      </c>
      <c r="U8" s="6">
        <f>0.5*$C8*K8</f>
        <v>1525</v>
      </c>
      <c r="V8" s="6">
        <f>0.5*$C8*L8</f>
        <v>915</v>
      </c>
      <c r="W8" s="6">
        <f>0.5*$C8*M8</f>
        <v>1830</v>
      </c>
      <c r="X8" s="7">
        <f>S8+N8</f>
        <v>26230</v>
      </c>
      <c r="Y8" s="7">
        <f>T8+O8</f>
        <v>28060</v>
      </c>
      <c r="Z8" s="7">
        <f>U8+P8</f>
        <v>28975</v>
      </c>
      <c r="AA8" s="7">
        <f>V8+Q8</f>
        <v>27145</v>
      </c>
      <c r="AB8" s="7">
        <f>W8+R8</f>
        <v>29890</v>
      </c>
      <c r="AC8" s="8">
        <f>SUM(X8:AB8)</f>
        <v>140300</v>
      </c>
    </row>
    <row r="9" spans="1:29" x14ac:dyDescent="0.3">
      <c r="A9" s="17" t="s">
        <v>8</v>
      </c>
      <c r="B9" s="17" t="s">
        <v>9</v>
      </c>
      <c r="C9" s="16">
        <v>700</v>
      </c>
      <c r="D9" s="3">
        <v>37.5</v>
      </c>
      <c r="E9" s="3">
        <v>38</v>
      </c>
      <c r="F9" s="3">
        <v>39</v>
      </c>
      <c r="G9" s="3">
        <v>38</v>
      </c>
      <c r="H9" s="3">
        <v>39</v>
      </c>
      <c r="I9" s="4">
        <f>IF(D9&gt;40,D9-40,0)</f>
        <v>0</v>
      </c>
      <c r="J9" s="4">
        <f t="shared" si="5"/>
        <v>0</v>
      </c>
      <c r="K9" s="4">
        <f t="shared" si="6"/>
        <v>0</v>
      </c>
      <c r="L9" s="4">
        <f t="shared" si="7"/>
        <v>0</v>
      </c>
      <c r="M9" s="4">
        <f t="shared" si="7"/>
        <v>0</v>
      </c>
      <c r="N9" s="5">
        <f>C9*D9</f>
        <v>26250</v>
      </c>
      <c r="O9" s="5">
        <f>$C9*E9</f>
        <v>26600</v>
      </c>
      <c r="P9" s="5">
        <f>$C9*F9</f>
        <v>27300</v>
      </c>
      <c r="Q9" s="5">
        <f>$C9*G9</f>
        <v>26600</v>
      </c>
      <c r="R9" s="5">
        <f>$C9*H9</f>
        <v>27300</v>
      </c>
      <c r="S9" s="6">
        <f>0.5*C9*I9</f>
        <v>0</v>
      </c>
      <c r="T9" s="6">
        <f>0.5*$C9*J9</f>
        <v>0</v>
      </c>
      <c r="U9" s="6">
        <f>0.5*$C9*K9</f>
        <v>0</v>
      </c>
      <c r="V9" s="6">
        <f>0.5*$C9*L9</f>
        <v>0</v>
      </c>
      <c r="W9" s="6">
        <f>0.5*$C9*M9</f>
        <v>0</v>
      </c>
      <c r="X9" s="7">
        <f>S9+N9</f>
        <v>26250</v>
      </c>
      <c r="Y9" s="7">
        <f>T9+O9</f>
        <v>26600</v>
      </c>
      <c r="Z9" s="7">
        <f>U9+P9</f>
        <v>27300</v>
      </c>
      <c r="AA9" s="7">
        <f>V9+Q9</f>
        <v>26600</v>
      </c>
      <c r="AB9" s="7">
        <f>W9+R9</f>
        <v>27300</v>
      </c>
      <c r="AC9" s="8">
        <f>SUM(X9:AB9)</f>
        <v>134050</v>
      </c>
    </row>
    <row r="10" spans="1:29" x14ac:dyDescent="0.3">
      <c r="A10" s="17" t="s">
        <v>10</v>
      </c>
      <c r="B10" s="17" t="s">
        <v>11</v>
      </c>
      <c r="C10" s="16">
        <v>480</v>
      </c>
      <c r="D10" s="3">
        <v>45</v>
      </c>
      <c r="E10" s="3">
        <v>46</v>
      </c>
      <c r="F10" s="3">
        <v>47</v>
      </c>
      <c r="G10" s="3">
        <v>46</v>
      </c>
      <c r="H10" s="3">
        <v>48</v>
      </c>
      <c r="I10" s="4">
        <f>IF(D10&gt;40,D10-40,0)</f>
        <v>5</v>
      </c>
      <c r="J10" s="4">
        <f t="shared" si="5"/>
        <v>6</v>
      </c>
      <c r="K10" s="4">
        <f t="shared" si="6"/>
        <v>7</v>
      </c>
      <c r="L10" s="4">
        <f t="shared" si="7"/>
        <v>6</v>
      </c>
      <c r="M10" s="4">
        <f t="shared" si="7"/>
        <v>8</v>
      </c>
      <c r="N10" s="5">
        <f>C10*D10</f>
        <v>21600</v>
      </c>
      <c r="O10" s="5">
        <f>$C10*E10</f>
        <v>22080</v>
      </c>
      <c r="P10" s="5">
        <f>$C10*F10</f>
        <v>22560</v>
      </c>
      <c r="Q10" s="5">
        <f>$C10*G10</f>
        <v>22080</v>
      </c>
      <c r="R10" s="5">
        <f>$C10*H10</f>
        <v>23040</v>
      </c>
      <c r="S10" s="6">
        <f>0.5*C10*I10</f>
        <v>1200</v>
      </c>
      <c r="T10" s="6">
        <f>0.5*$C10*J10</f>
        <v>1440</v>
      </c>
      <c r="U10" s="6">
        <f>0.5*$C10*K10</f>
        <v>1680</v>
      </c>
      <c r="V10" s="6">
        <f>0.5*$C10*L10</f>
        <v>1440</v>
      </c>
      <c r="W10" s="6">
        <f>0.5*$C10*M10</f>
        <v>1920</v>
      </c>
      <c r="X10" s="7">
        <f>S10+N10</f>
        <v>22800</v>
      </c>
      <c r="Y10" s="7">
        <f>T10+O10</f>
        <v>23520</v>
      </c>
      <c r="Z10" s="7">
        <f>U10+P10</f>
        <v>24240</v>
      </c>
      <c r="AA10" s="7">
        <f>V10+Q10</f>
        <v>23520</v>
      </c>
      <c r="AB10" s="7">
        <f>W10+R10</f>
        <v>24960</v>
      </c>
      <c r="AC10" s="8">
        <f>SUM(X10:AB10)</f>
        <v>119040</v>
      </c>
    </row>
    <row r="11" spans="1:29" x14ac:dyDescent="0.3">
      <c r="A11" s="17" t="s">
        <v>12</v>
      </c>
      <c r="B11" s="17" t="s">
        <v>13</v>
      </c>
      <c r="C11" s="16">
        <v>550</v>
      </c>
      <c r="D11" s="3">
        <v>39</v>
      </c>
      <c r="E11" s="3">
        <v>40</v>
      </c>
      <c r="F11" s="3">
        <v>41</v>
      </c>
      <c r="G11" s="3">
        <v>40</v>
      </c>
      <c r="H11" s="3">
        <v>41</v>
      </c>
      <c r="I11" s="4">
        <f>IF(D11&gt;40,D11-40,0)</f>
        <v>0</v>
      </c>
      <c r="J11" s="4">
        <f t="shared" si="5"/>
        <v>0</v>
      </c>
      <c r="K11" s="4">
        <f t="shared" si="6"/>
        <v>1</v>
      </c>
      <c r="L11" s="4">
        <f t="shared" si="7"/>
        <v>0</v>
      </c>
      <c r="M11" s="4">
        <f t="shared" si="7"/>
        <v>1</v>
      </c>
      <c r="N11" s="5">
        <f>C11*D11</f>
        <v>21450</v>
      </c>
      <c r="O11" s="5">
        <f>$C11*E11</f>
        <v>22000</v>
      </c>
      <c r="P11" s="5">
        <f>$C11*F11</f>
        <v>22550</v>
      </c>
      <c r="Q11" s="5">
        <f>$C11*G11</f>
        <v>22000</v>
      </c>
      <c r="R11" s="5">
        <f>$C11*H11</f>
        <v>22550</v>
      </c>
      <c r="S11" s="6">
        <f>0.5*C11*I11</f>
        <v>0</v>
      </c>
      <c r="T11" s="6">
        <f>0.5*$C11*J11</f>
        <v>0</v>
      </c>
      <c r="U11" s="6">
        <f>0.5*$C11*K11</f>
        <v>275</v>
      </c>
      <c r="V11" s="6">
        <f>0.5*$C11*L11</f>
        <v>0</v>
      </c>
      <c r="W11" s="6">
        <f>0.5*$C11*M11</f>
        <v>275</v>
      </c>
      <c r="X11" s="7">
        <f>S11+N11</f>
        <v>21450</v>
      </c>
      <c r="Y11" s="7">
        <f>T11+O11</f>
        <v>22000</v>
      </c>
      <c r="Z11" s="7">
        <f>U11+P11</f>
        <v>22825</v>
      </c>
      <c r="AA11" s="7">
        <f>V11+Q11</f>
        <v>22000</v>
      </c>
      <c r="AB11" s="7">
        <f>W11+R11</f>
        <v>22825</v>
      </c>
      <c r="AC11" s="8">
        <f>SUM(X11:AB11)</f>
        <v>111100</v>
      </c>
    </row>
    <row r="12" spans="1:29" x14ac:dyDescent="0.3">
      <c r="A12" s="17" t="s">
        <v>14</v>
      </c>
      <c r="B12" s="17" t="s">
        <v>15</v>
      </c>
      <c r="C12" s="16">
        <v>620</v>
      </c>
      <c r="D12" s="3">
        <v>41</v>
      </c>
      <c r="E12" s="3">
        <v>42</v>
      </c>
      <c r="F12" s="3">
        <v>43</v>
      </c>
      <c r="G12" s="3">
        <v>42</v>
      </c>
      <c r="H12" s="3">
        <v>44</v>
      </c>
      <c r="I12" s="4">
        <f>IF(D12&gt;40,D12-40,0)</f>
        <v>1</v>
      </c>
      <c r="J12" s="4">
        <f t="shared" si="5"/>
        <v>2</v>
      </c>
      <c r="K12" s="4">
        <f t="shared" si="6"/>
        <v>3</v>
      </c>
      <c r="L12" s="4">
        <f t="shared" si="7"/>
        <v>2</v>
      </c>
      <c r="M12" s="4">
        <f t="shared" si="7"/>
        <v>4</v>
      </c>
      <c r="N12" s="5">
        <f>C12*D12</f>
        <v>25420</v>
      </c>
      <c r="O12" s="5">
        <f>$C12*E12</f>
        <v>26040</v>
      </c>
      <c r="P12" s="5">
        <f>$C12*F12</f>
        <v>26660</v>
      </c>
      <c r="Q12" s="5">
        <f>$C12*G12</f>
        <v>26040</v>
      </c>
      <c r="R12" s="5">
        <f>$C12*H12</f>
        <v>27280</v>
      </c>
      <c r="S12" s="6">
        <f>0.5*C12*I12</f>
        <v>310</v>
      </c>
      <c r="T12" s="6">
        <f>0.5*$C12*J12</f>
        <v>620</v>
      </c>
      <c r="U12" s="6">
        <f>0.5*$C12*K12</f>
        <v>930</v>
      </c>
      <c r="V12" s="6">
        <f>0.5*$C12*L12</f>
        <v>620</v>
      </c>
      <c r="W12" s="6">
        <f>0.5*$C12*M12</f>
        <v>1240</v>
      </c>
      <c r="X12" s="7">
        <f>S12+N12</f>
        <v>25730</v>
      </c>
      <c r="Y12" s="7">
        <f>T12+O12</f>
        <v>26660</v>
      </c>
      <c r="Z12" s="7">
        <f>U12+P12</f>
        <v>27590</v>
      </c>
      <c r="AA12" s="7">
        <f>V12+Q12</f>
        <v>26660</v>
      </c>
      <c r="AB12" s="7">
        <f>W12+R12</f>
        <v>28520</v>
      </c>
      <c r="AC12" s="8">
        <f>SUM(X12:AB12)</f>
        <v>135160</v>
      </c>
    </row>
    <row r="13" spans="1:29" x14ac:dyDescent="0.3">
      <c r="A13" s="17" t="s">
        <v>16</v>
      </c>
      <c r="B13" s="17" t="s">
        <v>17</v>
      </c>
      <c r="C13" s="16">
        <v>530</v>
      </c>
      <c r="D13" s="3">
        <v>36</v>
      </c>
      <c r="E13" s="3">
        <v>37</v>
      </c>
      <c r="F13" s="3">
        <v>38</v>
      </c>
      <c r="G13" s="3">
        <v>37</v>
      </c>
      <c r="H13" s="3">
        <v>38</v>
      </c>
      <c r="I13" s="4">
        <f>IF(D13&gt;40,D13-40,0)</f>
        <v>0</v>
      </c>
      <c r="J13" s="4">
        <f t="shared" si="5"/>
        <v>0</v>
      </c>
      <c r="K13" s="4">
        <f t="shared" si="6"/>
        <v>0</v>
      </c>
      <c r="L13" s="4">
        <f t="shared" si="7"/>
        <v>0</v>
      </c>
      <c r="M13" s="4">
        <f t="shared" si="7"/>
        <v>0</v>
      </c>
      <c r="N13" s="5">
        <f>C13*D13</f>
        <v>19080</v>
      </c>
      <c r="O13" s="5">
        <f>$C13*E13</f>
        <v>19610</v>
      </c>
      <c r="P13" s="5">
        <f>$C13*F13</f>
        <v>20140</v>
      </c>
      <c r="Q13" s="5">
        <f>$C13*G13</f>
        <v>19610</v>
      </c>
      <c r="R13" s="5">
        <f>$C13*H13</f>
        <v>20140</v>
      </c>
      <c r="S13" s="6">
        <f>0.5*C13*I13</f>
        <v>0</v>
      </c>
      <c r="T13" s="6">
        <f>0.5*$C13*J13</f>
        <v>0</v>
      </c>
      <c r="U13" s="6">
        <f>0.5*$C13*K13</f>
        <v>0</v>
      </c>
      <c r="V13" s="6">
        <f>0.5*$C13*L13</f>
        <v>0</v>
      </c>
      <c r="W13" s="6">
        <f>0.5*$C13*M13</f>
        <v>0</v>
      </c>
      <c r="X13" s="7">
        <f>S13+N13</f>
        <v>19080</v>
      </c>
      <c r="Y13" s="7">
        <f>T13+O13</f>
        <v>19610</v>
      </c>
      <c r="Z13" s="7">
        <f>U13+P13</f>
        <v>20140</v>
      </c>
      <c r="AA13" s="7">
        <f>V13+Q13</f>
        <v>19610</v>
      </c>
      <c r="AB13" s="7">
        <f>W13+R13</f>
        <v>20140</v>
      </c>
      <c r="AC13" s="8">
        <f>SUM(X13:AB13)</f>
        <v>98580</v>
      </c>
    </row>
    <row r="14" spans="1:29" x14ac:dyDescent="0.3">
      <c r="A14" s="17" t="s">
        <v>18</v>
      </c>
      <c r="B14" s="17" t="s">
        <v>19</v>
      </c>
      <c r="C14" s="16">
        <v>750</v>
      </c>
      <c r="D14" s="3">
        <v>44</v>
      </c>
      <c r="E14" s="3">
        <v>45</v>
      </c>
      <c r="F14" s="3">
        <v>46</v>
      </c>
      <c r="G14" s="3">
        <v>45</v>
      </c>
      <c r="H14" s="3">
        <v>47</v>
      </c>
      <c r="I14" s="4">
        <f>IF(D14&gt;40,D14-40,0)</f>
        <v>4</v>
      </c>
      <c r="J14" s="4">
        <f t="shared" si="5"/>
        <v>5</v>
      </c>
      <c r="K14" s="4">
        <f t="shared" si="6"/>
        <v>6</v>
      </c>
      <c r="L14" s="4">
        <f t="shared" si="7"/>
        <v>5</v>
      </c>
      <c r="M14" s="4">
        <f t="shared" si="7"/>
        <v>7</v>
      </c>
      <c r="N14" s="5">
        <f>C14*D14</f>
        <v>33000</v>
      </c>
      <c r="O14" s="5">
        <f>$C14*E14</f>
        <v>33750</v>
      </c>
      <c r="P14" s="5">
        <f>$C14*F14</f>
        <v>34500</v>
      </c>
      <c r="Q14" s="5">
        <f>$C14*G14</f>
        <v>33750</v>
      </c>
      <c r="R14" s="5">
        <f>$C14*H14</f>
        <v>35250</v>
      </c>
      <c r="S14" s="6">
        <f>0.5*C14*I14</f>
        <v>1500</v>
      </c>
      <c r="T14" s="6">
        <f>0.5*$C14*J14</f>
        <v>1875</v>
      </c>
      <c r="U14" s="6">
        <f>0.5*$C14*K14</f>
        <v>2250</v>
      </c>
      <c r="V14" s="6">
        <f>0.5*$C14*L14</f>
        <v>1875</v>
      </c>
      <c r="W14" s="6">
        <f>0.5*$C14*M14</f>
        <v>2625</v>
      </c>
      <c r="X14" s="7">
        <f>S14+N14</f>
        <v>34500</v>
      </c>
      <c r="Y14" s="7">
        <f>T14+O14</f>
        <v>35625</v>
      </c>
      <c r="Z14" s="7">
        <f>U14+P14</f>
        <v>36750</v>
      </c>
      <c r="AA14" s="7">
        <f>V14+Q14</f>
        <v>35625</v>
      </c>
      <c r="AB14" s="7">
        <f>W14+R14</f>
        <v>37875</v>
      </c>
      <c r="AC14" s="8">
        <f>SUM(X14:AB14)</f>
        <v>180375</v>
      </c>
    </row>
    <row r="15" spans="1:29" x14ac:dyDescent="0.3">
      <c r="A15" s="17" t="s">
        <v>20</v>
      </c>
      <c r="B15" s="17" t="s">
        <v>21</v>
      </c>
      <c r="C15" s="16">
        <v>680</v>
      </c>
      <c r="D15" s="3">
        <v>40.5</v>
      </c>
      <c r="E15" s="3">
        <v>41</v>
      </c>
      <c r="F15" s="3">
        <v>42</v>
      </c>
      <c r="G15" s="3">
        <v>41</v>
      </c>
      <c r="H15" s="3">
        <v>42</v>
      </c>
      <c r="I15" s="4">
        <f>IF(D15&gt;40,D15-40,0)</f>
        <v>0.5</v>
      </c>
      <c r="J15" s="4">
        <f t="shared" si="5"/>
        <v>1</v>
      </c>
      <c r="K15" s="4">
        <f t="shared" si="6"/>
        <v>2</v>
      </c>
      <c r="L15" s="4">
        <f t="shared" si="7"/>
        <v>1</v>
      </c>
      <c r="M15" s="4">
        <f t="shared" si="7"/>
        <v>2</v>
      </c>
      <c r="N15" s="5">
        <f>C15*D15</f>
        <v>27540</v>
      </c>
      <c r="O15" s="5">
        <f>$C15*E15</f>
        <v>27880</v>
      </c>
      <c r="P15" s="5">
        <f>$C15*F15</f>
        <v>28560</v>
      </c>
      <c r="Q15" s="5">
        <f>$C15*G15</f>
        <v>27880</v>
      </c>
      <c r="R15" s="5">
        <f>$C15*H15</f>
        <v>28560</v>
      </c>
      <c r="S15" s="6">
        <f>0.5*C15*I15</f>
        <v>170</v>
      </c>
      <c r="T15" s="6">
        <f>0.5*$C15*J15</f>
        <v>340</v>
      </c>
      <c r="U15" s="6">
        <f>0.5*$C15*K15</f>
        <v>680</v>
      </c>
      <c r="V15" s="6">
        <f>0.5*$C15*L15</f>
        <v>340</v>
      </c>
      <c r="W15" s="6">
        <f>0.5*$C15*M15</f>
        <v>680</v>
      </c>
      <c r="X15" s="7">
        <f>S15+N15</f>
        <v>27710</v>
      </c>
      <c r="Y15" s="7">
        <f>T15+O15</f>
        <v>28220</v>
      </c>
      <c r="Z15" s="7">
        <f>U15+P15</f>
        <v>29240</v>
      </c>
      <c r="AA15" s="7">
        <f>V15+Q15</f>
        <v>28220</v>
      </c>
      <c r="AB15" s="7">
        <f>W15+R15</f>
        <v>29240</v>
      </c>
      <c r="AC15" s="8">
        <f>SUM(X15:AB15)</f>
        <v>142630</v>
      </c>
    </row>
    <row r="16" spans="1:29" x14ac:dyDescent="0.3">
      <c r="A16" s="17" t="s">
        <v>22</v>
      </c>
      <c r="B16" s="17" t="s">
        <v>23</v>
      </c>
      <c r="C16" s="16">
        <v>470</v>
      </c>
      <c r="D16" s="3">
        <v>35</v>
      </c>
      <c r="E16" s="3">
        <v>36</v>
      </c>
      <c r="F16" s="3">
        <v>37</v>
      </c>
      <c r="G16" s="3">
        <v>36</v>
      </c>
      <c r="H16" s="3">
        <v>37</v>
      </c>
      <c r="I16" s="4">
        <f>IF(D16&gt;40,D16-40,0)</f>
        <v>0</v>
      </c>
      <c r="J16" s="4">
        <f t="shared" si="5"/>
        <v>0</v>
      </c>
      <c r="K16" s="4">
        <f t="shared" si="6"/>
        <v>0</v>
      </c>
      <c r="L16" s="4">
        <f t="shared" si="7"/>
        <v>0</v>
      </c>
      <c r="M16" s="4">
        <f t="shared" si="7"/>
        <v>0</v>
      </c>
      <c r="N16" s="5">
        <f>C16*D16</f>
        <v>16450</v>
      </c>
      <c r="O16" s="5">
        <f>$C16*E16</f>
        <v>16920</v>
      </c>
      <c r="P16" s="5">
        <f>$C16*F16</f>
        <v>17390</v>
      </c>
      <c r="Q16" s="5">
        <f>$C16*G16</f>
        <v>16920</v>
      </c>
      <c r="R16" s="5">
        <f>$C16*H16</f>
        <v>17390</v>
      </c>
      <c r="S16" s="6">
        <f>0.5*C16*I16</f>
        <v>0</v>
      </c>
      <c r="T16" s="6">
        <f>0.5*$C16*J16</f>
        <v>0</v>
      </c>
      <c r="U16" s="6">
        <f>0.5*$C16*K16</f>
        <v>0</v>
      </c>
      <c r="V16" s="6">
        <f>0.5*$C16*L16</f>
        <v>0</v>
      </c>
      <c r="W16" s="6">
        <f>0.5*$C16*M16</f>
        <v>0</v>
      </c>
      <c r="X16" s="7">
        <f>S16+N16</f>
        <v>16450</v>
      </c>
      <c r="Y16" s="7">
        <f>T16+O16</f>
        <v>16920</v>
      </c>
      <c r="Z16" s="7">
        <f>U16+P16</f>
        <v>17390</v>
      </c>
      <c r="AA16" s="7">
        <f>V16+Q16</f>
        <v>16920</v>
      </c>
      <c r="AB16" s="7">
        <f>W16+R16</f>
        <v>17390</v>
      </c>
      <c r="AC16" s="8">
        <f>SUM(X16:AB16)</f>
        <v>85070</v>
      </c>
    </row>
    <row r="17" spans="1:29" x14ac:dyDescent="0.3">
      <c r="A17" s="17" t="s">
        <v>24</v>
      </c>
      <c r="B17" s="17" t="s">
        <v>25</v>
      </c>
      <c r="C17" s="16">
        <v>590</v>
      </c>
      <c r="D17" s="3">
        <v>43</v>
      </c>
      <c r="E17" s="3">
        <v>44</v>
      </c>
      <c r="F17" s="3">
        <v>45</v>
      </c>
      <c r="G17" s="3">
        <v>44</v>
      </c>
      <c r="H17" s="3">
        <v>45</v>
      </c>
      <c r="I17" s="4">
        <f>IF(D17&gt;40,D17-40,0)</f>
        <v>3</v>
      </c>
      <c r="J17" s="4">
        <f t="shared" si="5"/>
        <v>4</v>
      </c>
      <c r="K17" s="4">
        <f t="shared" si="6"/>
        <v>5</v>
      </c>
      <c r="L17" s="4">
        <f t="shared" si="7"/>
        <v>4</v>
      </c>
      <c r="M17" s="4">
        <f t="shared" si="7"/>
        <v>5</v>
      </c>
      <c r="N17" s="5">
        <f>C17*D17</f>
        <v>25370</v>
      </c>
      <c r="O17" s="5">
        <f>$C17*E17</f>
        <v>25960</v>
      </c>
      <c r="P17" s="5">
        <f>$C17*F17</f>
        <v>26550</v>
      </c>
      <c r="Q17" s="5">
        <f>$C17*G17</f>
        <v>25960</v>
      </c>
      <c r="R17" s="5">
        <f>$C17*H17</f>
        <v>26550</v>
      </c>
      <c r="S17" s="6">
        <f>0.5*C17*I17</f>
        <v>885</v>
      </c>
      <c r="T17" s="6">
        <f>0.5*$C17*J17</f>
        <v>1180</v>
      </c>
      <c r="U17" s="6">
        <f>0.5*$C17*K17</f>
        <v>1475</v>
      </c>
      <c r="V17" s="6">
        <f>0.5*$C17*L17</f>
        <v>1180</v>
      </c>
      <c r="W17" s="6">
        <f>0.5*$C17*M17</f>
        <v>1475</v>
      </c>
      <c r="X17" s="7">
        <f>S17+N17</f>
        <v>26255</v>
      </c>
      <c r="Y17" s="7">
        <f>T17+O17</f>
        <v>27140</v>
      </c>
      <c r="Z17" s="7">
        <f>U17+P17</f>
        <v>28025</v>
      </c>
      <c r="AA17" s="7">
        <f>V17+Q17</f>
        <v>27140</v>
      </c>
      <c r="AB17" s="7">
        <f>W17+R17</f>
        <v>28025</v>
      </c>
      <c r="AC17" s="8">
        <f>SUM(X17:AB17)</f>
        <v>136585</v>
      </c>
    </row>
    <row r="18" spans="1:29" x14ac:dyDescent="0.3">
      <c r="A18" s="17" t="s">
        <v>26</v>
      </c>
      <c r="B18" s="17" t="s">
        <v>27</v>
      </c>
      <c r="C18" s="16">
        <v>510</v>
      </c>
      <c r="D18" s="3">
        <v>38.5</v>
      </c>
      <c r="E18" s="3">
        <v>39</v>
      </c>
      <c r="F18" s="3">
        <v>40</v>
      </c>
      <c r="G18" s="3">
        <v>39</v>
      </c>
      <c r="H18" s="3">
        <v>40</v>
      </c>
      <c r="I18" s="4">
        <f>IF(D18&gt;40,D18-40,0)</f>
        <v>0</v>
      </c>
      <c r="J18" s="4">
        <f t="shared" si="5"/>
        <v>0</v>
      </c>
      <c r="K18" s="4">
        <f t="shared" si="6"/>
        <v>0</v>
      </c>
      <c r="L18" s="4">
        <f t="shared" si="7"/>
        <v>0</v>
      </c>
      <c r="M18" s="4">
        <f t="shared" si="7"/>
        <v>0</v>
      </c>
      <c r="N18" s="5">
        <f>C18*D18</f>
        <v>19635</v>
      </c>
      <c r="O18" s="5">
        <f>$C18*E18</f>
        <v>19890</v>
      </c>
      <c r="P18" s="5">
        <f>$C18*F18</f>
        <v>20400</v>
      </c>
      <c r="Q18" s="5">
        <f>$C18*G18</f>
        <v>19890</v>
      </c>
      <c r="R18" s="5">
        <f>$C18*H18</f>
        <v>20400</v>
      </c>
      <c r="S18" s="6">
        <f>0.5*C18*I18</f>
        <v>0</v>
      </c>
      <c r="T18" s="6">
        <f>0.5*$C18*J18</f>
        <v>0</v>
      </c>
      <c r="U18" s="6">
        <f>0.5*$C18*K18</f>
        <v>0</v>
      </c>
      <c r="V18" s="6">
        <f>0.5*$C18*L18</f>
        <v>0</v>
      </c>
      <c r="W18" s="6">
        <f>0.5*$C18*M18</f>
        <v>0</v>
      </c>
      <c r="X18" s="7">
        <f>S18+N18</f>
        <v>19635</v>
      </c>
      <c r="Y18" s="7">
        <f>T18+O18</f>
        <v>19890</v>
      </c>
      <c r="Z18" s="7">
        <f>U18+P18</f>
        <v>20400</v>
      </c>
      <c r="AA18" s="7">
        <f>V18+Q18</f>
        <v>19890</v>
      </c>
      <c r="AB18" s="7">
        <f>W18+R18</f>
        <v>20400</v>
      </c>
      <c r="AC18" s="8">
        <f>SUM(X18:AB18)</f>
        <v>100215</v>
      </c>
    </row>
    <row r="19" spans="1:29" x14ac:dyDescent="0.3">
      <c r="A19" s="17" t="s">
        <v>28</v>
      </c>
      <c r="B19" s="17" t="s">
        <v>29</v>
      </c>
      <c r="C19" s="16">
        <v>730</v>
      </c>
      <c r="D19" s="3">
        <v>46</v>
      </c>
      <c r="E19" s="3">
        <v>47</v>
      </c>
      <c r="F19" s="3">
        <v>48</v>
      </c>
      <c r="G19" s="3">
        <v>47</v>
      </c>
      <c r="H19" s="3">
        <v>49</v>
      </c>
      <c r="I19" s="4">
        <f>IF(D19&gt;40,D19-40,0)</f>
        <v>6</v>
      </c>
      <c r="J19" s="4">
        <f t="shared" si="5"/>
        <v>7</v>
      </c>
      <c r="K19" s="4">
        <f t="shared" si="6"/>
        <v>8</v>
      </c>
      <c r="L19" s="4">
        <f t="shared" si="7"/>
        <v>7</v>
      </c>
      <c r="M19" s="4">
        <f t="shared" si="7"/>
        <v>9</v>
      </c>
      <c r="N19" s="5">
        <f>C19*D19</f>
        <v>33580</v>
      </c>
      <c r="O19" s="5">
        <f>$C19*E19</f>
        <v>34310</v>
      </c>
      <c r="P19" s="5">
        <f>$C19*F19</f>
        <v>35040</v>
      </c>
      <c r="Q19" s="5">
        <f>$C19*G19</f>
        <v>34310</v>
      </c>
      <c r="R19" s="5">
        <f>$C19*H19</f>
        <v>35770</v>
      </c>
      <c r="S19" s="6">
        <f>0.5*C19*I19</f>
        <v>2190</v>
      </c>
      <c r="T19" s="6">
        <f>0.5*$C19*J19</f>
        <v>2555</v>
      </c>
      <c r="U19" s="6">
        <f>0.5*$C19*K19</f>
        <v>2920</v>
      </c>
      <c r="V19" s="6">
        <f>0.5*$C19*L19</f>
        <v>2555</v>
      </c>
      <c r="W19" s="6">
        <f>0.5*$C19*M19</f>
        <v>3285</v>
      </c>
      <c r="X19" s="7">
        <f>S19+N19</f>
        <v>35770</v>
      </c>
      <c r="Y19" s="7">
        <f>T19+O19</f>
        <v>36865</v>
      </c>
      <c r="Z19" s="7">
        <f>U19+P19</f>
        <v>37960</v>
      </c>
      <c r="AA19" s="7">
        <f>V19+Q19</f>
        <v>36865</v>
      </c>
      <c r="AB19" s="7">
        <f>W19+R19</f>
        <v>39055</v>
      </c>
      <c r="AC19" s="8">
        <f>SUM(X19:AB19)</f>
        <v>186515</v>
      </c>
    </row>
    <row r="20" spans="1:29" x14ac:dyDescent="0.3">
      <c r="A20" s="17" t="s">
        <v>30</v>
      </c>
      <c r="B20" s="17" t="s">
        <v>31</v>
      </c>
      <c r="C20" s="16">
        <v>560</v>
      </c>
      <c r="D20" s="3">
        <v>39.5</v>
      </c>
      <c r="E20" s="3">
        <v>40</v>
      </c>
      <c r="F20" s="3">
        <v>41</v>
      </c>
      <c r="G20" s="3">
        <v>40</v>
      </c>
      <c r="H20" s="3">
        <v>41</v>
      </c>
      <c r="I20" s="4">
        <f>IF(D20&gt;40,D20-40,0)</f>
        <v>0</v>
      </c>
      <c r="J20" s="4">
        <f t="shared" si="5"/>
        <v>0</v>
      </c>
      <c r="K20" s="4">
        <f t="shared" si="6"/>
        <v>1</v>
      </c>
      <c r="L20" s="4">
        <f t="shared" si="7"/>
        <v>0</v>
      </c>
      <c r="M20" s="4">
        <f t="shared" si="7"/>
        <v>1</v>
      </c>
      <c r="N20" s="5">
        <f>C20*D20</f>
        <v>22120</v>
      </c>
      <c r="O20" s="5">
        <f>$C20*E20</f>
        <v>22400</v>
      </c>
      <c r="P20" s="5">
        <f>$C20*F20</f>
        <v>22960</v>
      </c>
      <c r="Q20" s="5">
        <f>$C20*G20</f>
        <v>22400</v>
      </c>
      <c r="R20" s="5">
        <f>$C20*H20</f>
        <v>22960</v>
      </c>
      <c r="S20" s="6">
        <f>0.5*C20*I20</f>
        <v>0</v>
      </c>
      <c r="T20" s="6">
        <f>0.5*$C20*J20</f>
        <v>0</v>
      </c>
      <c r="U20" s="6">
        <f>0.5*$C20*K20</f>
        <v>280</v>
      </c>
      <c r="V20" s="6">
        <f>0.5*$C20*L20</f>
        <v>0</v>
      </c>
      <c r="W20" s="6">
        <f>0.5*$C20*M20</f>
        <v>280</v>
      </c>
      <c r="X20" s="7">
        <f>S20+N20</f>
        <v>22120</v>
      </c>
      <c r="Y20" s="7">
        <f>T20+O20</f>
        <v>22400</v>
      </c>
      <c r="Z20" s="7">
        <f>U20+P20</f>
        <v>23240</v>
      </c>
      <c r="AA20" s="7">
        <f>V20+Q20</f>
        <v>22400</v>
      </c>
      <c r="AB20" s="7">
        <f>W20+R20</f>
        <v>23240</v>
      </c>
      <c r="AC20" s="8">
        <f>SUM(X20:AB20)</f>
        <v>113400</v>
      </c>
    </row>
    <row r="21" spans="1:29" x14ac:dyDescent="0.3">
      <c r="A21" s="17" t="s">
        <v>32</v>
      </c>
      <c r="B21" s="17" t="s">
        <v>33</v>
      </c>
      <c r="C21" s="16">
        <v>490</v>
      </c>
      <c r="D21" s="3">
        <v>40</v>
      </c>
      <c r="E21" s="3">
        <v>41</v>
      </c>
      <c r="F21" s="3">
        <v>42</v>
      </c>
      <c r="G21" s="3">
        <v>41</v>
      </c>
      <c r="H21" s="3">
        <v>43</v>
      </c>
      <c r="I21" s="4">
        <f>IF(D21&gt;40,D21-40,0)</f>
        <v>0</v>
      </c>
      <c r="J21" s="4">
        <f t="shared" si="5"/>
        <v>1</v>
      </c>
      <c r="K21" s="4">
        <f t="shared" si="6"/>
        <v>2</v>
      </c>
      <c r="L21" s="4">
        <f t="shared" si="7"/>
        <v>1</v>
      </c>
      <c r="M21" s="4">
        <f t="shared" si="7"/>
        <v>3</v>
      </c>
      <c r="N21" s="5">
        <f>C21*D21</f>
        <v>19600</v>
      </c>
      <c r="O21" s="5">
        <f>$C21*E21</f>
        <v>20090</v>
      </c>
      <c r="P21" s="5">
        <f>$C21*F21</f>
        <v>20580</v>
      </c>
      <c r="Q21" s="5">
        <f>$C21*G21</f>
        <v>20090</v>
      </c>
      <c r="R21" s="5">
        <f>$C21*H21</f>
        <v>21070</v>
      </c>
      <c r="S21" s="6">
        <f>0.5*C21*I21</f>
        <v>0</v>
      </c>
      <c r="T21" s="6">
        <f>0.5*$C21*J21</f>
        <v>245</v>
      </c>
      <c r="U21" s="6">
        <f>0.5*$C21*K21</f>
        <v>490</v>
      </c>
      <c r="V21" s="6">
        <f>0.5*$C21*L21</f>
        <v>245</v>
      </c>
      <c r="W21" s="6">
        <f>0.5*$C21*M21</f>
        <v>735</v>
      </c>
      <c r="X21" s="7">
        <f>S21+N21</f>
        <v>19600</v>
      </c>
      <c r="Y21" s="7">
        <f>T21+O21</f>
        <v>20335</v>
      </c>
      <c r="Z21" s="7">
        <f>U21+P21</f>
        <v>21070</v>
      </c>
      <c r="AA21" s="7">
        <f>V21+Q21</f>
        <v>20335</v>
      </c>
      <c r="AB21" s="7">
        <f>W21+R21</f>
        <v>21805</v>
      </c>
      <c r="AC21" s="8">
        <f>SUM(X21:AB21)</f>
        <v>103145</v>
      </c>
    </row>
    <row r="22" spans="1:29" x14ac:dyDescent="0.3">
      <c r="A22" s="17" t="s">
        <v>34</v>
      </c>
      <c r="B22" s="17" t="s">
        <v>35</v>
      </c>
      <c r="C22" s="16">
        <v>650</v>
      </c>
      <c r="D22" s="3">
        <v>47</v>
      </c>
      <c r="E22" s="3">
        <v>48</v>
      </c>
      <c r="F22" s="3">
        <v>49</v>
      </c>
      <c r="G22" s="3">
        <v>48</v>
      </c>
      <c r="H22" s="3">
        <v>50</v>
      </c>
      <c r="I22" s="4">
        <f>IF(D22&gt;40,D22-40,0)</f>
        <v>7</v>
      </c>
      <c r="J22" s="4">
        <f t="shared" si="5"/>
        <v>8</v>
      </c>
      <c r="K22" s="4">
        <f t="shared" si="6"/>
        <v>9</v>
      </c>
      <c r="L22" s="4">
        <f t="shared" si="7"/>
        <v>8</v>
      </c>
      <c r="M22" s="4">
        <f t="shared" si="7"/>
        <v>10</v>
      </c>
      <c r="N22" s="5">
        <f>C22*D22</f>
        <v>30550</v>
      </c>
      <c r="O22" s="5">
        <f>$C22*E22</f>
        <v>31200</v>
      </c>
      <c r="P22" s="5">
        <f>$C22*F22</f>
        <v>31850</v>
      </c>
      <c r="Q22" s="5">
        <f>$C22*G22</f>
        <v>31200</v>
      </c>
      <c r="R22" s="5">
        <f>$C22*H22</f>
        <v>32500</v>
      </c>
      <c r="S22" s="6">
        <f>0.5*C22*I22</f>
        <v>2275</v>
      </c>
      <c r="T22" s="6">
        <f>0.5*$C22*J22</f>
        <v>2600</v>
      </c>
      <c r="U22" s="6">
        <f>0.5*$C22*K22</f>
        <v>2925</v>
      </c>
      <c r="V22" s="6">
        <f>0.5*$C22*L22</f>
        <v>2600</v>
      </c>
      <c r="W22" s="6">
        <f>0.5*$C22*M22</f>
        <v>3250</v>
      </c>
      <c r="X22" s="7">
        <f>S22+N22</f>
        <v>32825</v>
      </c>
      <c r="Y22" s="7">
        <f>T22+O22</f>
        <v>33800</v>
      </c>
      <c r="Z22" s="7">
        <f>U22+P22</f>
        <v>34775</v>
      </c>
      <c r="AA22" s="7">
        <f>V22+Q22</f>
        <v>33800</v>
      </c>
      <c r="AB22" s="7">
        <f>W22+R22</f>
        <v>35750</v>
      </c>
      <c r="AC22" s="8">
        <f>SUM(X22:AB22)</f>
        <v>170950</v>
      </c>
    </row>
    <row r="23" spans="1:29" x14ac:dyDescent="0.3">
      <c r="A23" s="17" t="s">
        <v>36</v>
      </c>
      <c r="B23" s="17" t="s">
        <v>37</v>
      </c>
      <c r="C23" s="16">
        <v>540</v>
      </c>
      <c r="D23" s="3">
        <v>34</v>
      </c>
      <c r="E23" s="3">
        <v>35</v>
      </c>
      <c r="F23" s="3">
        <v>36</v>
      </c>
      <c r="G23" s="3">
        <v>35</v>
      </c>
      <c r="H23" s="3">
        <v>36</v>
      </c>
      <c r="I23" s="4">
        <f>IF(D23&gt;40,D23-40,0)</f>
        <v>0</v>
      </c>
      <c r="J23" s="4">
        <f t="shared" si="5"/>
        <v>0</v>
      </c>
      <c r="K23" s="4">
        <f t="shared" si="6"/>
        <v>0</v>
      </c>
      <c r="L23" s="4">
        <f t="shared" si="7"/>
        <v>0</v>
      </c>
      <c r="M23" s="4">
        <f t="shared" si="7"/>
        <v>0</v>
      </c>
      <c r="N23" s="5">
        <f>C23*D23</f>
        <v>18360</v>
      </c>
      <c r="O23" s="5">
        <f>$C23*E23</f>
        <v>18900</v>
      </c>
      <c r="P23" s="5">
        <f>$C23*F23</f>
        <v>19440</v>
      </c>
      <c r="Q23" s="5">
        <f>$C23*G23</f>
        <v>18900</v>
      </c>
      <c r="R23" s="5">
        <f>$C23*H23</f>
        <v>19440</v>
      </c>
      <c r="S23" s="6">
        <f>0.5*C23*I23</f>
        <v>0</v>
      </c>
      <c r="T23" s="6">
        <f>0.5*$C23*J23</f>
        <v>0</v>
      </c>
      <c r="U23" s="6">
        <f>0.5*$C23*K23</f>
        <v>0</v>
      </c>
      <c r="V23" s="6">
        <f>0.5*$C23*L23</f>
        <v>0</v>
      </c>
      <c r="W23" s="6">
        <f>0.5*$C23*M23</f>
        <v>0</v>
      </c>
      <c r="X23" s="7">
        <f>S23+N23</f>
        <v>18360</v>
      </c>
      <c r="Y23" s="7">
        <f>T23+O23</f>
        <v>18900</v>
      </c>
      <c r="Z23" s="7">
        <f>U23+P23</f>
        <v>19440</v>
      </c>
      <c r="AA23" s="7">
        <f>V23+Q23</f>
        <v>18900</v>
      </c>
      <c r="AB23" s="7">
        <f>W23+R23</f>
        <v>19440</v>
      </c>
      <c r="AC23" s="8">
        <f>SUM(X23:AB23)</f>
        <v>95040</v>
      </c>
    </row>
    <row r="24" spans="1:29" x14ac:dyDescent="0.3">
      <c r="A24" s="17" t="s">
        <v>38</v>
      </c>
      <c r="B24" s="17" t="s">
        <v>39</v>
      </c>
      <c r="C24" s="16">
        <v>720</v>
      </c>
      <c r="D24" s="3">
        <v>42.5</v>
      </c>
      <c r="E24" s="3">
        <v>43</v>
      </c>
      <c r="F24" s="3">
        <v>44</v>
      </c>
      <c r="G24" s="3">
        <v>43</v>
      </c>
      <c r="H24" s="3">
        <v>45</v>
      </c>
      <c r="I24" s="4">
        <f>IF(D24&gt;40,D24-40,0)</f>
        <v>2.5</v>
      </c>
      <c r="J24" s="4">
        <f t="shared" si="5"/>
        <v>3</v>
      </c>
      <c r="K24" s="4">
        <f t="shared" si="6"/>
        <v>4</v>
      </c>
      <c r="L24" s="4">
        <f t="shared" si="7"/>
        <v>3</v>
      </c>
      <c r="M24" s="4">
        <f t="shared" si="7"/>
        <v>5</v>
      </c>
      <c r="N24" s="5">
        <f>C24*D24</f>
        <v>30600</v>
      </c>
      <c r="O24" s="5">
        <f>$C24*E24</f>
        <v>30960</v>
      </c>
      <c r="P24" s="5">
        <f>$C24*F24</f>
        <v>31680</v>
      </c>
      <c r="Q24" s="5">
        <f>$C24*G24</f>
        <v>30960</v>
      </c>
      <c r="R24" s="5">
        <f>$C24*H24</f>
        <v>32400</v>
      </c>
      <c r="S24" s="6">
        <f>0.5*C24*I24</f>
        <v>900</v>
      </c>
      <c r="T24" s="6">
        <f>0.5*$C24*J24</f>
        <v>1080</v>
      </c>
      <c r="U24" s="6">
        <f>0.5*$C24*K24</f>
        <v>1440</v>
      </c>
      <c r="V24" s="6">
        <f>0.5*$C24*L24</f>
        <v>1080</v>
      </c>
      <c r="W24" s="6">
        <f>0.5*$C24*M24</f>
        <v>1800</v>
      </c>
      <c r="X24" s="7">
        <f>S24+N24</f>
        <v>31500</v>
      </c>
      <c r="Y24" s="7">
        <f>T24+O24</f>
        <v>32040</v>
      </c>
      <c r="Z24" s="7">
        <f>U24+P24</f>
        <v>33120</v>
      </c>
      <c r="AA24" s="7">
        <f>V24+Q24</f>
        <v>32040</v>
      </c>
      <c r="AB24" s="7">
        <f>W24+R24</f>
        <v>34200</v>
      </c>
      <c r="AC24" s="8">
        <f>SUM(X24:AB24)</f>
        <v>162900</v>
      </c>
    </row>
    <row r="25" spans="1:29" x14ac:dyDescent="0.3">
      <c r="A25" s="17" t="s">
        <v>40</v>
      </c>
      <c r="B25" s="17" t="s">
        <v>41</v>
      </c>
      <c r="C25" s="16">
        <v>800</v>
      </c>
      <c r="D25" s="3">
        <v>48</v>
      </c>
      <c r="E25" s="3">
        <v>49</v>
      </c>
      <c r="F25" s="3">
        <v>50</v>
      </c>
      <c r="G25" s="3">
        <v>49</v>
      </c>
      <c r="H25" s="3">
        <v>51</v>
      </c>
      <c r="I25" s="4">
        <f>IF(D25&gt;40,D25-40,0)</f>
        <v>8</v>
      </c>
      <c r="J25" s="4">
        <f t="shared" si="5"/>
        <v>9</v>
      </c>
      <c r="K25" s="4">
        <f t="shared" si="6"/>
        <v>10</v>
      </c>
      <c r="L25" s="4">
        <f t="shared" si="7"/>
        <v>9</v>
      </c>
      <c r="M25" s="4">
        <f t="shared" si="7"/>
        <v>11</v>
      </c>
      <c r="N25" s="5">
        <f>C25*D25</f>
        <v>38400</v>
      </c>
      <c r="O25" s="5">
        <f>$C25*E25</f>
        <v>39200</v>
      </c>
      <c r="P25" s="5">
        <f>$C25*F25</f>
        <v>40000</v>
      </c>
      <c r="Q25" s="5">
        <f>$C25*G25</f>
        <v>39200</v>
      </c>
      <c r="R25" s="5">
        <f>$C25*H25</f>
        <v>40800</v>
      </c>
      <c r="S25" s="6">
        <f>0.5*C25*I25</f>
        <v>3200</v>
      </c>
      <c r="T25" s="6">
        <f>0.5*$C25*J25</f>
        <v>3600</v>
      </c>
      <c r="U25" s="6">
        <f>0.5*$C25*K25</f>
        <v>4000</v>
      </c>
      <c r="V25" s="6">
        <f>0.5*$C25*L25</f>
        <v>3600</v>
      </c>
      <c r="W25" s="6">
        <f>0.5*$C25*M25</f>
        <v>4400</v>
      </c>
      <c r="X25" s="7">
        <f>S25+N25</f>
        <v>41600</v>
      </c>
      <c r="Y25" s="7">
        <f>T25+O25</f>
        <v>42800</v>
      </c>
      <c r="Z25" s="7">
        <f>U25+P25</f>
        <v>44000</v>
      </c>
      <c r="AA25" s="7">
        <f>V25+Q25</f>
        <v>42800</v>
      </c>
      <c r="AB25" s="7">
        <f>W25+R25</f>
        <v>45200</v>
      </c>
      <c r="AC25" s="8">
        <f>SUM(X25:AB25)</f>
        <v>216400</v>
      </c>
    </row>
    <row r="26" spans="1:29" x14ac:dyDescent="0.3">
      <c r="A26" s="17" t="s">
        <v>42</v>
      </c>
      <c r="B26" s="17" t="s">
        <v>43</v>
      </c>
      <c r="C26" s="16">
        <v>670</v>
      </c>
      <c r="D26" s="3">
        <v>41.5</v>
      </c>
      <c r="E26" s="3">
        <v>42</v>
      </c>
      <c r="F26" s="3">
        <v>43</v>
      </c>
      <c r="G26" s="3">
        <v>42</v>
      </c>
      <c r="H26" s="3">
        <v>44</v>
      </c>
      <c r="I26" s="4">
        <f>IF(D26&gt;40,D26-40,0)</f>
        <v>1.5</v>
      </c>
      <c r="J26" s="4">
        <f t="shared" si="5"/>
        <v>2</v>
      </c>
      <c r="K26" s="4">
        <f t="shared" si="6"/>
        <v>3</v>
      </c>
      <c r="L26" s="4">
        <f t="shared" si="7"/>
        <v>2</v>
      </c>
      <c r="M26" s="4">
        <f t="shared" si="7"/>
        <v>4</v>
      </c>
      <c r="N26" s="5">
        <f>C26*D26</f>
        <v>27805</v>
      </c>
      <c r="O26" s="5">
        <f>$C26*E26</f>
        <v>28140</v>
      </c>
      <c r="P26" s="5">
        <f>$C26*F26</f>
        <v>28810</v>
      </c>
      <c r="Q26" s="5">
        <f>$C26*G26</f>
        <v>28140</v>
      </c>
      <c r="R26" s="5">
        <f>$C26*H26</f>
        <v>29480</v>
      </c>
      <c r="S26" s="6">
        <f>0.5*C26*I26</f>
        <v>502.5</v>
      </c>
      <c r="T26" s="6">
        <f>0.5*$C26*J26</f>
        <v>670</v>
      </c>
      <c r="U26" s="6">
        <f>0.5*$C26*K26</f>
        <v>1005</v>
      </c>
      <c r="V26" s="6">
        <f>0.5*$C26*L26</f>
        <v>670</v>
      </c>
      <c r="W26" s="6">
        <f>0.5*$C26*M26</f>
        <v>1340</v>
      </c>
      <c r="X26" s="7">
        <f>S26+N26</f>
        <v>28307.5</v>
      </c>
      <c r="Y26" s="7">
        <f>T26+O26</f>
        <v>28810</v>
      </c>
      <c r="Z26" s="7">
        <f>U26+P26</f>
        <v>29815</v>
      </c>
      <c r="AA26" s="7">
        <f>V26+Q26</f>
        <v>28810</v>
      </c>
      <c r="AB26" s="7">
        <f>W26+R26</f>
        <v>30820</v>
      </c>
      <c r="AC26" s="8">
        <f>SUM(X26:AB26)</f>
        <v>146562.5</v>
      </c>
    </row>
    <row r="27" spans="1:29" x14ac:dyDescent="0.3">
      <c r="A27" s="17" t="s">
        <v>44</v>
      </c>
      <c r="B27" s="17" t="s">
        <v>45</v>
      </c>
      <c r="C27" s="16">
        <v>520</v>
      </c>
      <c r="D27" s="3">
        <v>37</v>
      </c>
      <c r="E27" s="3">
        <v>38</v>
      </c>
      <c r="F27" s="3">
        <v>39</v>
      </c>
      <c r="G27" s="3">
        <v>38</v>
      </c>
      <c r="H27" s="3">
        <v>39</v>
      </c>
      <c r="I27" s="4">
        <f>IF(D27&gt;40,D27-40,0)</f>
        <v>0</v>
      </c>
      <c r="J27" s="4">
        <f t="shared" si="5"/>
        <v>0</v>
      </c>
      <c r="K27" s="4">
        <f t="shared" si="6"/>
        <v>0</v>
      </c>
      <c r="L27" s="4">
        <f t="shared" si="7"/>
        <v>0</v>
      </c>
      <c r="M27" s="4">
        <f t="shared" si="7"/>
        <v>0</v>
      </c>
      <c r="N27" s="5">
        <f>C27*D27</f>
        <v>19240</v>
      </c>
      <c r="O27" s="5">
        <f>$C27*E27</f>
        <v>19760</v>
      </c>
      <c r="P27" s="5">
        <f>$C27*F27</f>
        <v>20280</v>
      </c>
      <c r="Q27" s="5">
        <f>$C27*G27</f>
        <v>19760</v>
      </c>
      <c r="R27" s="5">
        <f>$C27*H27</f>
        <v>20280</v>
      </c>
      <c r="S27" s="6">
        <f>0.5*C27*I27</f>
        <v>0</v>
      </c>
      <c r="T27" s="6">
        <f>0.5*$C27*J27</f>
        <v>0</v>
      </c>
      <c r="U27" s="6">
        <f>0.5*$C27*K27</f>
        <v>0</v>
      </c>
      <c r="V27" s="6">
        <f>0.5*$C27*L27</f>
        <v>0</v>
      </c>
      <c r="W27" s="6">
        <f>0.5*$C27*M27</f>
        <v>0</v>
      </c>
      <c r="X27" s="7">
        <f>S27+N27</f>
        <v>19240</v>
      </c>
      <c r="Y27" s="7">
        <f>T27+O27</f>
        <v>19760</v>
      </c>
      <c r="Z27" s="7">
        <f>U27+P27</f>
        <v>20280</v>
      </c>
      <c r="AA27" s="7">
        <f>V27+Q27</f>
        <v>19760</v>
      </c>
      <c r="AB27" s="7">
        <f>W27+R27</f>
        <v>20280</v>
      </c>
      <c r="AC27" s="8">
        <f>SUM(X27:AB27)</f>
        <v>99320</v>
      </c>
    </row>
    <row r="28" spans="1:29" x14ac:dyDescent="0.3">
      <c r="A28" s="17" t="s">
        <v>46</v>
      </c>
      <c r="B28" s="17" t="s">
        <v>47</v>
      </c>
      <c r="C28" s="16">
        <v>610</v>
      </c>
      <c r="D28" s="3">
        <v>45.5</v>
      </c>
      <c r="E28" s="3">
        <v>46</v>
      </c>
      <c r="F28" s="3">
        <v>47</v>
      </c>
      <c r="G28" s="3">
        <v>46</v>
      </c>
      <c r="H28" s="3">
        <v>48</v>
      </c>
      <c r="I28" s="4">
        <f>IF(D28&gt;40,D28-40,0)</f>
        <v>5.5</v>
      </c>
      <c r="J28" s="4">
        <f t="shared" si="5"/>
        <v>6</v>
      </c>
      <c r="K28" s="4">
        <f t="shared" si="6"/>
        <v>7</v>
      </c>
      <c r="L28" s="4">
        <f t="shared" si="7"/>
        <v>6</v>
      </c>
      <c r="M28" s="4">
        <f t="shared" si="7"/>
        <v>8</v>
      </c>
      <c r="N28" s="5">
        <f>C28*D28</f>
        <v>27755</v>
      </c>
      <c r="O28" s="5">
        <f>$C28*E28</f>
        <v>28060</v>
      </c>
      <c r="P28" s="5">
        <f>$C28*F28</f>
        <v>28670</v>
      </c>
      <c r="Q28" s="5">
        <f>$C28*G28</f>
        <v>28060</v>
      </c>
      <c r="R28" s="5">
        <f>$C28*H28</f>
        <v>29280</v>
      </c>
      <c r="S28" s="6">
        <f>0.5*C28*I28</f>
        <v>1677.5</v>
      </c>
      <c r="T28" s="6">
        <f>0.5*$C28*J28</f>
        <v>1830</v>
      </c>
      <c r="U28" s="6">
        <f>0.5*$C28*K28</f>
        <v>2135</v>
      </c>
      <c r="V28" s="6">
        <f>0.5*$C28*L28</f>
        <v>1830</v>
      </c>
      <c r="W28" s="6">
        <f>0.5*$C28*M28</f>
        <v>2440</v>
      </c>
      <c r="X28" s="7">
        <f>S28+N28</f>
        <v>29432.5</v>
      </c>
      <c r="Y28" s="7">
        <f>T28+O28</f>
        <v>29890</v>
      </c>
      <c r="Z28" s="7">
        <f>U28+P28</f>
        <v>30805</v>
      </c>
      <c r="AA28" s="7">
        <f>V28+Q28</f>
        <v>29890</v>
      </c>
      <c r="AB28" s="7">
        <f>W28+R28</f>
        <v>31720</v>
      </c>
      <c r="AC28" s="8">
        <f>SUM(X28:AB28)</f>
        <v>151737.5</v>
      </c>
    </row>
    <row r="29" spans="1:29" x14ac:dyDescent="0.3">
      <c r="A29" s="17" t="s">
        <v>48</v>
      </c>
      <c r="B29" s="17" t="s">
        <v>49</v>
      </c>
      <c r="C29" s="16">
        <v>460</v>
      </c>
      <c r="D29" s="3">
        <v>36.5</v>
      </c>
      <c r="E29" s="3">
        <v>37</v>
      </c>
      <c r="F29" s="3">
        <v>38</v>
      </c>
      <c r="G29" s="3">
        <v>37</v>
      </c>
      <c r="H29" s="3">
        <v>38</v>
      </c>
      <c r="I29" s="4">
        <f>IF(D29&gt;40,D29-40,0)</f>
        <v>0</v>
      </c>
      <c r="J29" s="4">
        <f t="shared" si="5"/>
        <v>0</v>
      </c>
      <c r="K29" s="4">
        <f t="shared" si="6"/>
        <v>0</v>
      </c>
      <c r="L29" s="4">
        <f t="shared" si="7"/>
        <v>0</v>
      </c>
      <c r="M29" s="4">
        <f t="shared" si="7"/>
        <v>0</v>
      </c>
      <c r="N29" s="5">
        <f>C29*D29</f>
        <v>16790</v>
      </c>
      <c r="O29" s="5">
        <f>$C29*E29</f>
        <v>17020</v>
      </c>
      <c r="P29" s="5">
        <f>$C29*F29</f>
        <v>17480</v>
      </c>
      <c r="Q29" s="5">
        <f>$C29*G29</f>
        <v>17020</v>
      </c>
      <c r="R29" s="5">
        <f>$C29*H29</f>
        <v>17480</v>
      </c>
      <c r="S29" s="6">
        <f>0.5*C29*I29</f>
        <v>0</v>
      </c>
      <c r="T29" s="6">
        <f>0.5*$C29*J29</f>
        <v>0</v>
      </c>
      <c r="U29" s="6">
        <f>0.5*$C29*K29</f>
        <v>0</v>
      </c>
      <c r="V29" s="6">
        <f>0.5*$C29*L29</f>
        <v>0</v>
      </c>
      <c r="W29" s="6">
        <f>0.5*$C29*M29</f>
        <v>0</v>
      </c>
      <c r="X29" s="7">
        <f>S29+N29</f>
        <v>16790</v>
      </c>
      <c r="Y29" s="7">
        <f>T29+O29</f>
        <v>17020</v>
      </c>
      <c r="Z29" s="7">
        <f>U29+P29</f>
        <v>17480</v>
      </c>
      <c r="AA29" s="7">
        <f>V29+Q29</f>
        <v>17020</v>
      </c>
      <c r="AB29" s="7">
        <f>W29+R29</f>
        <v>17480</v>
      </c>
      <c r="AC29" s="8">
        <f>SUM(X29:AB29)</f>
        <v>85790</v>
      </c>
    </row>
    <row r="30" spans="1:29" x14ac:dyDescent="0.3">
      <c r="A30" s="17" t="s">
        <v>50</v>
      </c>
      <c r="B30" s="17" t="s">
        <v>51</v>
      </c>
      <c r="C30" s="16">
        <v>580</v>
      </c>
      <c r="D30" s="3">
        <v>43.5</v>
      </c>
      <c r="E30" s="3">
        <v>44</v>
      </c>
      <c r="F30" s="3">
        <v>45</v>
      </c>
      <c r="G30" s="3">
        <v>44</v>
      </c>
      <c r="H30" s="3">
        <v>46</v>
      </c>
      <c r="I30" s="4">
        <f>IF(D30&gt;40,D30-40,0)</f>
        <v>3.5</v>
      </c>
      <c r="J30" s="4">
        <f t="shared" si="5"/>
        <v>4</v>
      </c>
      <c r="K30" s="4">
        <f t="shared" si="6"/>
        <v>5</v>
      </c>
      <c r="L30" s="4">
        <f t="shared" si="7"/>
        <v>4</v>
      </c>
      <c r="M30" s="4">
        <f t="shared" si="7"/>
        <v>6</v>
      </c>
      <c r="N30" s="5">
        <f>C30*D30</f>
        <v>25230</v>
      </c>
      <c r="O30" s="5">
        <f>$C30*E30</f>
        <v>25520</v>
      </c>
      <c r="P30" s="5">
        <f>$C30*F30</f>
        <v>26100</v>
      </c>
      <c r="Q30" s="5">
        <f>$C30*G30</f>
        <v>25520</v>
      </c>
      <c r="R30" s="5">
        <f>$C30*H30</f>
        <v>26680</v>
      </c>
      <c r="S30" s="6">
        <f>0.5*C30*I30</f>
        <v>1015</v>
      </c>
      <c r="T30" s="6">
        <f>0.5*$C30*J30</f>
        <v>1160</v>
      </c>
      <c r="U30" s="6">
        <f>0.5*$C30*K30</f>
        <v>1450</v>
      </c>
      <c r="V30" s="6">
        <f>0.5*$C30*L30</f>
        <v>1160</v>
      </c>
      <c r="W30" s="6">
        <f>0.5*$C30*M30</f>
        <v>1740</v>
      </c>
      <c r="X30" s="7">
        <f>S30+N30</f>
        <v>26245</v>
      </c>
      <c r="Y30" s="7">
        <f>T30+O30</f>
        <v>26680</v>
      </c>
      <c r="Z30" s="7">
        <f>U30+P30</f>
        <v>27550</v>
      </c>
      <c r="AA30" s="7">
        <f>V30+Q30</f>
        <v>26680</v>
      </c>
      <c r="AB30" s="7">
        <f>W30+R30</f>
        <v>28420</v>
      </c>
      <c r="AC30" s="8">
        <f>SUM(X30:AB30)</f>
        <v>135575</v>
      </c>
    </row>
    <row r="31" spans="1:29" x14ac:dyDescent="0.3">
      <c r="A31" s="17" t="s">
        <v>52</v>
      </c>
      <c r="B31" s="17" t="s">
        <v>53</v>
      </c>
      <c r="C31" s="16">
        <v>500</v>
      </c>
      <c r="D31" s="3">
        <v>39</v>
      </c>
      <c r="E31" s="3">
        <v>40</v>
      </c>
      <c r="F31" s="3">
        <v>41</v>
      </c>
      <c r="G31" s="3">
        <v>40</v>
      </c>
      <c r="H31" s="3">
        <v>42</v>
      </c>
      <c r="I31" s="4">
        <f>IF(D31&gt;40,D31-40,0)</f>
        <v>0</v>
      </c>
      <c r="J31" s="4">
        <f t="shared" si="5"/>
        <v>0</v>
      </c>
      <c r="K31" s="4">
        <f t="shared" si="6"/>
        <v>1</v>
      </c>
      <c r="L31" s="4">
        <f t="shared" si="7"/>
        <v>0</v>
      </c>
      <c r="M31" s="4">
        <f t="shared" si="7"/>
        <v>2</v>
      </c>
      <c r="N31" s="5">
        <f>C31*D31</f>
        <v>19500</v>
      </c>
      <c r="O31" s="5">
        <f>$C31*E31</f>
        <v>20000</v>
      </c>
      <c r="P31" s="5">
        <f>$C31*F31</f>
        <v>20500</v>
      </c>
      <c r="Q31" s="5">
        <f>$C31*G31</f>
        <v>20000</v>
      </c>
      <c r="R31" s="5">
        <f>$C31*H31</f>
        <v>21000</v>
      </c>
      <c r="S31" s="6">
        <f>0.5*C31*I31</f>
        <v>0</v>
      </c>
      <c r="T31" s="6">
        <f>0.5*$C31*J31</f>
        <v>0</v>
      </c>
      <c r="U31" s="6">
        <f>0.5*$C31*K31</f>
        <v>250</v>
      </c>
      <c r="V31" s="6">
        <f>0.5*$C31*L31</f>
        <v>0</v>
      </c>
      <c r="W31" s="6">
        <f>0.5*$C31*M31</f>
        <v>500</v>
      </c>
      <c r="X31" s="7">
        <f>S31+N31</f>
        <v>19500</v>
      </c>
      <c r="Y31" s="7">
        <f>T31+O31</f>
        <v>20000</v>
      </c>
      <c r="Z31" s="7">
        <f>U31+P31</f>
        <v>20750</v>
      </c>
      <c r="AA31" s="7">
        <f>V31+Q31</f>
        <v>20000</v>
      </c>
      <c r="AB31" s="7">
        <f>W31+R31</f>
        <v>21500</v>
      </c>
      <c r="AC31" s="8">
        <f>SUM(X31:AB31)</f>
        <v>101750</v>
      </c>
    </row>
    <row r="32" spans="1:29" x14ac:dyDescent="0.3">
      <c r="A32" s="17" t="s">
        <v>54</v>
      </c>
      <c r="B32" s="17" t="s">
        <v>55</v>
      </c>
      <c r="C32" s="16">
        <v>690</v>
      </c>
      <c r="D32" s="3">
        <v>44.5</v>
      </c>
      <c r="E32" s="3">
        <v>45</v>
      </c>
      <c r="F32" s="3">
        <v>46</v>
      </c>
      <c r="G32" s="3">
        <v>45</v>
      </c>
      <c r="H32" s="3">
        <v>47</v>
      </c>
      <c r="I32" s="4">
        <f>IF(D32&gt;40,D32-40,0)</f>
        <v>4.5</v>
      </c>
      <c r="J32" s="4">
        <f t="shared" si="5"/>
        <v>5</v>
      </c>
      <c r="K32" s="4">
        <f t="shared" si="6"/>
        <v>6</v>
      </c>
      <c r="L32" s="4">
        <f t="shared" si="7"/>
        <v>5</v>
      </c>
      <c r="M32" s="4">
        <f t="shared" si="7"/>
        <v>7</v>
      </c>
      <c r="N32" s="5">
        <f>C32*D32</f>
        <v>30705</v>
      </c>
      <c r="O32" s="5">
        <f>$C32*E32</f>
        <v>31050</v>
      </c>
      <c r="P32" s="5">
        <f>$C32*F32</f>
        <v>31740</v>
      </c>
      <c r="Q32" s="5">
        <f>$C32*G32</f>
        <v>31050</v>
      </c>
      <c r="R32" s="5">
        <f>$C32*H32</f>
        <v>32430</v>
      </c>
      <c r="S32" s="6">
        <f>0.5*C32*I32</f>
        <v>1552.5</v>
      </c>
      <c r="T32" s="6">
        <f>0.5*$C32*J32</f>
        <v>1725</v>
      </c>
      <c r="U32" s="6">
        <f>0.5*$C32*K32</f>
        <v>2070</v>
      </c>
      <c r="V32" s="6">
        <f>0.5*$C32*L32</f>
        <v>1725</v>
      </c>
      <c r="W32" s="6">
        <f>0.5*$C32*M32</f>
        <v>2415</v>
      </c>
      <c r="X32" s="7">
        <f>S32+N32</f>
        <v>32257.5</v>
      </c>
      <c r="Y32" s="7">
        <f>T32+O32</f>
        <v>32775</v>
      </c>
      <c r="Z32" s="7">
        <f>U32+P32</f>
        <v>33810</v>
      </c>
      <c r="AA32" s="7">
        <f>V32+Q32</f>
        <v>32775</v>
      </c>
      <c r="AB32" s="7">
        <f>W32+R32</f>
        <v>34845</v>
      </c>
      <c r="AC32" s="8">
        <f>SUM(X32:AB32)</f>
        <v>166462.5</v>
      </c>
    </row>
    <row r="33" spans="1:29" x14ac:dyDescent="0.3">
      <c r="A33" s="17" t="s">
        <v>56</v>
      </c>
      <c r="B33" s="17" t="s">
        <v>57</v>
      </c>
      <c r="C33" s="16">
        <v>740</v>
      </c>
      <c r="D33" s="3">
        <v>40</v>
      </c>
      <c r="E33" s="3">
        <v>41</v>
      </c>
      <c r="F33" s="3">
        <v>42</v>
      </c>
      <c r="G33" s="3">
        <v>41</v>
      </c>
      <c r="H33" s="3">
        <v>43</v>
      </c>
      <c r="I33" s="4">
        <f>IF(D33&gt;40,D33-40,0)</f>
        <v>0</v>
      </c>
      <c r="J33" s="4">
        <f t="shared" si="5"/>
        <v>1</v>
      </c>
      <c r="K33" s="4">
        <f t="shared" si="6"/>
        <v>2</v>
      </c>
      <c r="L33" s="4">
        <f t="shared" si="7"/>
        <v>1</v>
      </c>
      <c r="M33" s="4">
        <f t="shared" si="7"/>
        <v>3</v>
      </c>
      <c r="N33" s="5">
        <f>C33*D33</f>
        <v>29600</v>
      </c>
      <c r="O33" s="5">
        <f>$C33*E33</f>
        <v>30340</v>
      </c>
      <c r="P33" s="5">
        <f>$C33*F33</f>
        <v>31080</v>
      </c>
      <c r="Q33" s="5">
        <f>$C33*G33</f>
        <v>30340</v>
      </c>
      <c r="R33" s="5">
        <f>$C33*H33</f>
        <v>31820</v>
      </c>
      <c r="S33" s="6">
        <f>0.5*C33*I33</f>
        <v>0</v>
      </c>
      <c r="T33" s="6">
        <f>0.5*$C33*J33</f>
        <v>370</v>
      </c>
      <c r="U33" s="6">
        <f>0.5*$C33*K33</f>
        <v>740</v>
      </c>
      <c r="V33" s="6">
        <f>0.5*$C33*L33</f>
        <v>370</v>
      </c>
      <c r="W33" s="6">
        <f>0.5*$C33*M33</f>
        <v>1110</v>
      </c>
      <c r="X33" s="7">
        <f>S33+N33</f>
        <v>29600</v>
      </c>
      <c r="Y33" s="7">
        <f>T33+O33</f>
        <v>30710</v>
      </c>
      <c r="Z33" s="7">
        <f>U33+P33</f>
        <v>31820</v>
      </c>
      <c r="AA33" s="7">
        <f>V33+Q33</f>
        <v>30710</v>
      </c>
      <c r="AB33" s="7">
        <f>W33+R33</f>
        <v>32930</v>
      </c>
      <c r="AC33" s="8">
        <f>SUM(X33:AB33)</f>
        <v>155770</v>
      </c>
    </row>
    <row r="34" spans="1:29" x14ac:dyDescent="0.3">
      <c r="A34" s="17" t="s">
        <v>58</v>
      </c>
      <c r="B34" s="17" t="s">
        <v>59</v>
      </c>
      <c r="C34" s="16">
        <v>570</v>
      </c>
      <c r="D34" s="3">
        <v>38</v>
      </c>
      <c r="E34" s="3">
        <v>39</v>
      </c>
      <c r="F34" s="3">
        <v>40</v>
      </c>
      <c r="G34" s="3">
        <v>39</v>
      </c>
      <c r="H34" s="3">
        <v>40</v>
      </c>
      <c r="I34" s="4">
        <f>IF(D34&gt;40,D34-40,0)</f>
        <v>0</v>
      </c>
      <c r="J34" s="4">
        <f t="shared" si="5"/>
        <v>0</v>
      </c>
      <c r="K34" s="4">
        <f t="shared" si="6"/>
        <v>0</v>
      </c>
      <c r="L34" s="4">
        <f t="shared" si="7"/>
        <v>0</v>
      </c>
      <c r="M34" s="4">
        <f t="shared" si="7"/>
        <v>0</v>
      </c>
      <c r="N34" s="5">
        <f>C34*D34</f>
        <v>21660</v>
      </c>
      <c r="O34" s="5">
        <f>$C34*E34</f>
        <v>22230</v>
      </c>
      <c r="P34" s="5">
        <f>$C34*F34</f>
        <v>22800</v>
      </c>
      <c r="Q34" s="5">
        <f>$C34*G34</f>
        <v>22230</v>
      </c>
      <c r="R34" s="5">
        <f>$C34*H34</f>
        <v>22800</v>
      </c>
      <c r="S34" s="6">
        <f>0.5*C34*I34</f>
        <v>0</v>
      </c>
      <c r="T34" s="6">
        <f>0.5*$C34*J34</f>
        <v>0</v>
      </c>
      <c r="U34" s="6">
        <f>0.5*$C34*K34</f>
        <v>0</v>
      </c>
      <c r="V34" s="6">
        <f>0.5*$C34*L34</f>
        <v>0</v>
      </c>
      <c r="W34" s="6">
        <f>0.5*$C34*M34</f>
        <v>0</v>
      </c>
      <c r="X34" s="7">
        <f>S34+N34</f>
        <v>21660</v>
      </c>
      <c r="Y34" s="7">
        <f>T34+O34</f>
        <v>22230</v>
      </c>
      <c r="Z34" s="7">
        <f>U34+P34</f>
        <v>22800</v>
      </c>
      <c r="AA34" s="7">
        <f>V34+Q34</f>
        <v>22230</v>
      </c>
      <c r="AB34" s="7">
        <f>W34+R34</f>
        <v>22800</v>
      </c>
      <c r="AC34" s="8">
        <f>SUM(X34:AB34)</f>
        <v>111720</v>
      </c>
    </row>
    <row r="35" spans="1:29" x14ac:dyDescent="0.3">
      <c r="A35" s="17" t="s">
        <v>60</v>
      </c>
      <c r="B35" s="17" t="s">
        <v>61</v>
      </c>
      <c r="C35" s="16">
        <v>630</v>
      </c>
      <c r="D35" s="3">
        <v>46.5</v>
      </c>
      <c r="E35" s="3">
        <v>47</v>
      </c>
      <c r="F35" s="3">
        <v>48</v>
      </c>
      <c r="G35" s="3">
        <v>47</v>
      </c>
      <c r="H35" s="3">
        <v>49</v>
      </c>
      <c r="I35" s="4">
        <f>IF(D35&gt;40,D35-40,0)</f>
        <v>6.5</v>
      </c>
      <c r="J35" s="4">
        <f t="shared" si="5"/>
        <v>7</v>
      </c>
      <c r="K35" s="4">
        <f t="shared" si="6"/>
        <v>8</v>
      </c>
      <c r="L35" s="4">
        <f t="shared" si="7"/>
        <v>7</v>
      </c>
      <c r="M35" s="4">
        <f t="shared" si="7"/>
        <v>9</v>
      </c>
      <c r="N35" s="5">
        <f>C35*D35</f>
        <v>29295</v>
      </c>
      <c r="O35" s="5">
        <f>$C35*E35</f>
        <v>29610</v>
      </c>
      <c r="P35" s="5">
        <f>$C35*F35</f>
        <v>30240</v>
      </c>
      <c r="Q35" s="5">
        <f>$C35*G35</f>
        <v>29610</v>
      </c>
      <c r="R35" s="5">
        <f>$C35*H35</f>
        <v>30870</v>
      </c>
      <c r="S35" s="6">
        <f>0.5*C35*I35</f>
        <v>2047.5</v>
      </c>
      <c r="T35" s="6">
        <f>0.5*$C35*J35</f>
        <v>2205</v>
      </c>
      <c r="U35" s="6">
        <f>0.5*$C35*K35</f>
        <v>2520</v>
      </c>
      <c r="V35" s="6">
        <f>0.5*$C35*L35</f>
        <v>2205</v>
      </c>
      <c r="W35" s="6">
        <f>0.5*$C35*M35</f>
        <v>2835</v>
      </c>
      <c r="X35" s="7">
        <f>S35+N35</f>
        <v>31342.5</v>
      </c>
      <c r="Y35" s="7">
        <f>T35+O35</f>
        <v>31815</v>
      </c>
      <c r="Z35" s="7">
        <f>U35+P35</f>
        <v>32760</v>
      </c>
      <c r="AA35" s="7">
        <f>V35+Q35</f>
        <v>31815</v>
      </c>
      <c r="AB35" s="7">
        <f>W35+R35</f>
        <v>33705</v>
      </c>
      <c r="AC35" s="8">
        <f>SUM(X35:AB35)</f>
        <v>161437.5</v>
      </c>
    </row>
    <row r="36" spans="1:29" x14ac:dyDescent="0.3">
      <c r="A36" s="17" t="s">
        <v>62</v>
      </c>
      <c r="B36" s="17" t="s">
        <v>63</v>
      </c>
      <c r="C36" s="16">
        <v>550</v>
      </c>
      <c r="D36" s="3">
        <v>35.5</v>
      </c>
      <c r="E36" s="3">
        <v>36</v>
      </c>
      <c r="F36" s="3">
        <v>37</v>
      </c>
      <c r="G36" s="3">
        <v>36</v>
      </c>
      <c r="H36" s="3">
        <v>37</v>
      </c>
      <c r="I36" s="4">
        <f>IF(D36&gt;40,D36-40,0)</f>
        <v>0</v>
      </c>
      <c r="J36" s="4">
        <f t="shared" si="5"/>
        <v>0</v>
      </c>
      <c r="K36" s="4">
        <f t="shared" si="6"/>
        <v>0</v>
      </c>
      <c r="L36" s="4">
        <f t="shared" si="7"/>
        <v>0</v>
      </c>
      <c r="M36" s="4">
        <f t="shared" si="7"/>
        <v>0</v>
      </c>
      <c r="N36" s="5">
        <f>C36*D36</f>
        <v>19525</v>
      </c>
      <c r="O36" s="5">
        <f>$C36*E36</f>
        <v>19800</v>
      </c>
      <c r="P36" s="5">
        <f>$C36*F36</f>
        <v>20350</v>
      </c>
      <c r="Q36" s="5">
        <f>$C36*G36</f>
        <v>19800</v>
      </c>
      <c r="R36" s="5">
        <f>$C36*H36</f>
        <v>20350</v>
      </c>
      <c r="S36" s="6">
        <f>0.5*C36*I36</f>
        <v>0</v>
      </c>
      <c r="T36" s="6">
        <f>0.5*$C36*J36</f>
        <v>0</v>
      </c>
      <c r="U36" s="6">
        <f>0.5*$C36*K36</f>
        <v>0</v>
      </c>
      <c r="V36" s="6">
        <f>0.5*$C36*L36</f>
        <v>0</v>
      </c>
      <c r="W36" s="6">
        <f>0.5*$C36*M36</f>
        <v>0</v>
      </c>
      <c r="X36" s="7">
        <f>S36+N36</f>
        <v>19525</v>
      </c>
      <c r="Y36" s="7">
        <f>T36+O36</f>
        <v>19800</v>
      </c>
      <c r="Z36" s="7">
        <f>U36+P36</f>
        <v>20350</v>
      </c>
      <c r="AA36" s="7">
        <f>V36+Q36</f>
        <v>19800</v>
      </c>
      <c r="AB36" s="7">
        <f>W36+R36</f>
        <v>20350</v>
      </c>
      <c r="AC36" s="8">
        <f>SUM(X36:AB36)</f>
        <v>99825</v>
      </c>
    </row>
    <row r="37" spans="1:29" x14ac:dyDescent="0.3">
      <c r="A37" s="17" t="s">
        <v>64</v>
      </c>
      <c r="B37" s="17" t="s">
        <v>65</v>
      </c>
      <c r="C37" s="16">
        <v>620</v>
      </c>
      <c r="D37" s="3">
        <v>42</v>
      </c>
      <c r="E37" s="3">
        <v>43</v>
      </c>
      <c r="F37" s="3">
        <v>44</v>
      </c>
      <c r="G37" s="3">
        <v>43</v>
      </c>
      <c r="H37" s="3">
        <v>45</v>
      </c>
      <c r="I37" s="4">
        <f>IF(D37&gt;40,D37-40,0)</f>
        <v>2</v>
      </c>
      <c r="J37" s="4">
        <f t="shared" si="5"/>
        <v>3</v>
      </c>
      <c r="K37" s="4">
        <f t="shared" si="6"/>
        <v>4</v>
      </c>
      <c r="L37" s="4">
        <f t="shared" si="7"/>
        <v>3</v>
      </c>
      <c r="M37" s="4">
        <f t="shared" si="7"/>
        <v>5</v>
      </c>
      <c r="N37" s="5">
        <f>C37*D37</f>
        <v>26040</v>
      </c>
      <c r="O37" s="5">
        <f>$C37*E37</f>
        <v>26660</v>
      </c>
      <c r="P37" s="5">
        <f>$C37*F37</f>
        <v>27280</v>
      </c>
      <c r="Q37" s="5">
        <f>$C37*G37</f>
        <v>26660</v>
      </c>
      <c r="R37" s="5">
        <f>$C37*H37</f>
        <v>27900</v>
      </c>
      <c r="S37" s="6">
        <f>0.5*C37*I37</f>
        <v>620</v>
      </c>
      <c r="T37" s="6">
        <f>0.5*$C37*J37</f>
        <v>930</v>
      </c>
      <c r="U37" s="6">
        <f>0.5*$C37*K37</f>
        <v>1240</v>
      </c>
      <c r="V37" s="6">
        <f>0.5*$C37*L37</f>
        <v>930</v>
      </c>
      <c r="W37" s="6">
        <f>0.5*$C37*M37</f>
        <v>1550</v>
      </c>
      <c r="X37" s="7">
        <f>S37+N37</f>
        <v>26660</v>
      </c>
      <c r="Y37" s="7">
        <f>T37+O37</f>
        <v>27590</v>
      </c>
      <c r="Z37" s="7">
        <f>U37+P37</f>
        <v>28520</v>
      </c>
      <c r="AA37" s="7">
        <f>V37+Q37</f>
        <v>27590</v>
      </c>
      <c r="AB37" s="7">
        <f>W37+R37</f>
        <v>29450</v>
      </c>
      <c r="AC37" s="8">
        <f>SUM(X37:AB37)</f>
        <v>139810</v>
      </c>
    </row>
    <row r="38" spans="1:29" x14ac:dyDescent="0.3">
      <c r="A38" s="17" t="s">
        <v>66</v>
      </c>
      <c r="B38" s="17" t="s">
        <v>67</v>
      </c>
      <c r="C38" s="16">
        <v>480</v>
      </c>
      <c r="D38" s="3">
        <v>37</v>
      </c>
      <c r="E38" s="3">
        <v>38</v>
      </c>
      <c r="F38" s="3">
        <v>39</v>
      </c>
      <c r="G38" s="3">
        <v>38</v>
      </c>
      <c r="H38" s="3">
        <v>39</v>
      </c>
      <c r="I38" s="4">
        <f>IF(D38&gt;40,D38-40,0)</f>
        <v>0</v>
      </c>
      <c r="J38" s="4">
        <f t="shared" si="5"/>
        <v>0</v>
      </c>
      <c r="K38" s="4">
        <f t="shared" si="6"/>
        <v>0</v>
      </c>
      <c r="L38" s="4">
        <f t="shared" si="7"/>
        <v>0</v>
      </c>
      <c r="M38" s="4">
        <f t="shared" si="7"/>
        <v>0</v>
      </c>
      <c r="N38" s="5">
        <f>C38*D38</f>
        <v>17760</v>
      </c>
      <c r="O38" s="5">
        <f>$C38*E38</f>
        <v>18240</v>
      </c>
      <c r="P38" s="5">
        <f>$C38*F38</f>
        <v>18720</v>
      </c>
      <c r="Q38" s="5">
        <f>$C38*G38</f>
        <v>18240</v>
      </c>
      <c r="R38" s="5">
        <f>$C38*H38</f>
        <v>18720</v>
      </c>
      <c r="S38" s="6">
        <f>0.5*C38*I38</f>
        <v>0</v>
      </c>
      <c r="T38" s="6">
        <f>0.5*$C38*J38</f>
        <v>0</v>
      </c>
      <c r="U38" s="6">
        <f>0.5*$C38*K38</f>
        <v>0</v>
      </c>
      <c r="V38" s="6">
        <f>0.5*$C38*L38</f>
        <v>0</v>
      </c>
      <c r="W38" s="6">
        <f>0.5*$C38*M38</f>
        <v>0</v>
      </c>
      <c r="X38" s="7">
        <f>S38+N38</f>
        <v>17760</v>
      </c>
      <c r="Y38" s="7">
        <f>T38+O38</f>
        <v>18240</v>
      </c>
      <c r="Z38" s="7">
        <f>U38+P38</f>
        <v>18720</v>
      </c>
      <c r="AA38" s="7">
        <f>V38+Q38</f>
        <v>18240</v>
      </c>
      <c r="AB38" s="7">
        <f>W38+R38</f>
        <v>18720</v>
      </c>
      <c r="AC38" s="8">
        <f>SUM(X38:AB38)</f>
        <v>91680</v>
      </c>
    </row>
    <row r="39" spans="1:29" x14ac:dyDescent="0.3">
      <c r="A39" s="17" t="s">
        <v>68</v>
      </c>
      <c r="B39" s="17" t="s">
        <v>69</v>
      </c>
      <c r="C39" s="16">
        <v>710</v>
      </c>
      <c r="D39" s="3">
        <v>45</v>
      </c>
      <c r="E39" s="3">
        <v>46</v>
      </c>
      <c r="F39" s="3">
        <v>47</v>
      </c>
      <c r="G39" s="3">
        <v>46</v>
      </c>
      <c r="H39" s="3">
        <v>48</v>
      </c>
      <c r="I39" s="4">
        <f>IF(D39&gt;40,D39-40,0)</f>
        <v>5</v>
      </c>
      <c r="J39" s="4">
        <f t="shared" si="5"/>
        <v>6</v>
      </c>
      <c r="K39" s="4">
        <f t="shared" si="6"/>
        <v>7</v>
      </c>
      <c r="L39" s="4">
        <f t="shared" si="7"/>
        <v>6</v>
      </c>
      <c r="M39" s="4">
        <f t="shared" si="7"/>
        <v>8</v>
      </c>
      <c r="N39" s="5">
        <f>C39*D39</f>
        <v>31950</v>
      </c>
      <c r="O39" s="5">
        <f>$C39*E39</f>
        <v>32660</v>
      </c>
      <c r="P39" s="5">
        <f>$C39*F39</f>
        <v>33370</v>
      </c>
      <c r="Q39" s="5">
        <f>$C39*G39</f>
        <v>32660</v>
      </c>
      <c r="R39" s="5">
        <f>$C39*H39</f>
        <v>34080</v>
      </c>
      <c r="S39" s="6">
        <f>0.5*C39*I39</f>
        <v>1775</v>
      </c>
      <c r="T39" s="6">
        <f>0.5*$C39*J39</f>
        <v>2130</v>
      </c>
      <c r="U39" s="6">
        <f>0.5*$C39*K39</f>
        <v>2485</v>
      </c>
      <c r="V39" s="6">
        <f>0.5*$C39*L39</f>
        <v>2130</v>
      </c>
      <c r="W39" s="6">
        <f>0.5*$C39*M39</f>
        <v>2840</v>
      </c>
      <c r="X39" s="7">
        <f>S39+N39</f>
        <v>33725</v>
      </c>
      <c r="Y39" s="7">
        <f>T39+O39</f>
        <v>34790</v>
      </c>
      <c r="Z39" s="7">
        <f>U39+P39</f>
        <v>35855</v>
      </c>
      <c r="AA39" s="7">
        <f>V39+Q39</f>
        <v>34790</v>
      </c>
      <c r="AB39" s="7">
        <f>W39+R39</f>
        <v>36920</v>
      </c>
      <c r="AC39" s="8">
        <f>SUM(X39:AB39)</f>
        <v>176080</v>
      </c>
    </row>
    <row r="40" spans="1:29" x14ac:dyDescent="0.3">
      <c r="A40" s="17" t="s">
        <v>70</v>
      </c>
      <c r="B40" s="17" t="s">
        <v>71</v>
      </c>
      <c r="C40" s="16">
        <v>530</v>
      </c>
      <c r="D40" s="3">
        <v>39.5</v>
      </c>
      <c r="E40" s="3">
        <v>40</v>
      </c>
      <c r="F40" s="3">
        <v>41</v>
      </c>
      <c r="G40" s="3">
        <v>40</v>
      </c>
      <c r="H40" s="3">
        <v>42</v>
      </c>
      <c r="I40" s="4">
        <f>IF(D40&gt;40,D40-40,0)</f>
        <v>0</v>
      </c>
      <c r="J40" s="4">
        <f t="shared" si="5"/>
        <v>0</v>
      </c>
      <c r="K40" s="4">
        <f t="shared" si="6"/>
        <v>1</v>
      </c>
      <c r="L40" s="4">
        <f t="shared" si="7"/>
        <v>0</v>
      </c>
      <c r="M40" s="4">
        <f t="shared" si="7"/>
        <v>2</v>
      </c>
      <c r="N40" s="5">
        <f>C40*D40</f>
        <v>20935</v>
      </c>
      <c r="O40" s="5">
        <f>$C40*E40</f>
        <v>21200</v>
      </c>
      <c r="P40" s="5">
        <f>$C40*F40</f>
        <v>21730</v>
      </c>
      <c r="Q40" s="5">
        <f>$C40*G40</f>
        <v>21200</v>
      </c>
      <c r="R40" s="5">
        <f>$C40*H40</f>
        <v>22260</v>
      </c>
      <c r="S40" s="6">
        <f>0.5*C40*I40</f>
        <v>0</v>
      </c>
      <c r="T40" s="6">
        <f>0.5*$C40*J40</f>
        <v>0</v>
      </c>
      <c r="U40" s="6">
        <f>0.5*$C40*K40</f>
        <v>265</v>
      </c>
      <c r="V40" s="6">
        <f>0.5*$C40*L40</f>
        <v>0</v>
      </c>
      <c r="W40" s="6">
        <f>0.5*$C40*M40</f>
        <v>530</v>
      </c>
      <c r="X40" s="7">
        <f>S40+N40</f>
        <v>20935</v>
      </c>
      <c r="Y40" s="7">
        <f>T40+O40</f>
        <v>21200</v>
      </c>
      <c r="Z40" s="7">
        <f>U40+P40</f>
        <v>21995</v>
      </c>
      <c r="AA40" s="7">
        <f>V40+Q40</f>
        <v>21200</v>
      </c>
      <c r="AB40" s="7">
        <f>W40+R40</f>
        <v>22790</v>
      </c>
      <c r="AC40" s="8">
        <f>SUM(X40:AB40)</f>
        <v>108120</v>
      </c>
    </row>
    <row r="41" spans="1:29" x14ac:dyDescent="0.3">
      <c r="A41" s="17" t="s">
        <v>72</v>
      </c>
      <c r="B41" s="17" t="s">
        <v>73</v>
      </c>
      <c r="C41" s="16">
        <v>760</v>
      </c>
      <c r="D41" s="3">
        <v>41</v>
      </c>
      <c r="E41" s="3">
        <v>42</v>
      </c>
      <c r="F41" s="3">
        <v>43</v>
      </c>
      <c r="G41" s="3">
        <v>42</v>
      </c>
      <c r="H41" s="3">
        <v>44</v>
      </c>
      <c r="I41" s="4">
        <f>IF(D41&gt;40,D41-40,0)</f>
        <v>1</v>
      </c>
      <c r="J41" s="4">
        <f t="shared" si="5"/>
        <v>2</v>
      </c>
      <c r="K41" s="4">
        <f t="shared" si="6"/>
        <v>3</v>
      </c>
      <c r="L41" s="4">
        <f t="shared" si="7"/>
        <v>2</v>
      </c>
      <c r="M41" s="4">
        <f t="shared" si="7"/>
        <v>4</v>
      </c>
      <c r="N41" s="5">
        <f>C41*D41</f>
        <v>31160</v>
      </c>
      <c r="O41" s="5">
        <f>$C41*E41</f>
        <v>31920</v>
      </c>
      <c r="P41" s="5">
        <f>$C41*F41</f>
        <v>32680</v>
      </c>
      <c r="Q41" s="5">
        <f>$C41*G41</f>
        <v>31920</v>
      </c>
      <c r="R41" s="5">
        <f>$C41*H41</f>
        <v>33440</v>
      </c>
      <c r="S41" s="6">
        <f>0.5*C41*I41</f>
        <v>380</v>
      </c>
      <c r="T41" s="6">
        <f>0.5*$C41*J41</f>
        <v>760</v>
      </c>
      <c r="U41" s="6">
        <f>0.5*$C41*K41</f>
        <v>1140</v>
      </c>
      <c r="V41" s="6">
        <f>0.5*$C41*L41</f>
        <v>760</v>
      </c>
      <c r="W41" s="6">
        <f>0.5*$C41*M41</f>
        <v>1520</v>
      </c>
      <c r="X41" s="7">
        <f>S41+N41</f>
        <v>31540</v>
      </c>
      <c r="Y41" s="7">
        <f>T41+O41</f>
        <v>32680</v>
      </c>
      <c r="Z41" s="7">
        <f>U41+P41</f>
        <v>33820</v>
      </c>
      <c r="AA41" s="7">
        <f>V41+Q41</f>
        <v>32680</v>
      </c>
      <c r="AB41" s="7">
        <f>W41+R41</f>
        <v>34960</v>
      </c>
      <c r="AC41" s="8">
        <f>SUM(X41:AB41)</f>
        <v>165680</v>
      </c>
    </row>
    <row r="42" spans="1:29" x14ac:dyDescent="0.3">
      <c r="A42" s="17" t="s">
        <v>74</v>
      </c>
      <c r="B42" s="17" t="s">
        <v>75</v>
      </c>
      <c r="C42" s="16">
        <v>590</v>
      </c>
      <c r="D42" s="3">
        <v>36</v>
      </c>
      <c r="E42" s="3">
        <v>37</v>
      </c>
      <c r="F42" s="3">
        <v>38</v>
      </c>
      <c r="G42" s="3">
        <v>37</v>
      </c>
      <c r="H42" s="3">
        <v>38</v>
      </c>
      <c r="I42" s="4">
        <f>IF(D42&gt;40,D42-40,0)</f>
        <v>0</v>
      </c>
      <c r="J42" s="4">
        <f t="shared" si="5"/>
        <v>0</v>
      </c>
      <c r="K42" s="4">
        <f t="shared" si="6"/>
        <v>0</v>
      </c>
      <c r="L42" s="4">
        <f t="shared" si="7"/>
        <v>0</v>
      </c>
      <c r="M42" s="4">
        <f t="shared" si="7"/>
        <v>0</v>
      </c>
      <c r="N42" s="5">
        <f>C42*D42</f>
        <v>21240</v>
      </c>
      <c r="O42" s="5">
        <f>$C42*E42</f>
        <v>21830</v>
      </c>
      <c r="P42" s="5">
        <f>$C42*F42</f>
        <v>22420</v>
      </c>
      <c r="Q42" s="5">
        <f>$C42*G42</f>
        <v>21830</v>
      </c>
      <c r="R42" s="5">
        <f>$C42*H42</f>
        <v>22420</v>
      </c>
      <c r="S42" s="6">
        <f>0.5*C42*I42</f>
        <v>0</v>
      </c>
      <c r="T42" s="6">
        <f>0.5*$C42*J42</f>
        <v>0</v>
      </c>
      <c r="U42" s="6">
        <f>0.5*$C42*K42</f>
        <v>0</v>
      </c>
      <c r="V42" s="6">
        <f>0.5*$C42*L42</f>
        <v>0</v>
      </c>
      <c r="W42" s="6">
        <f>0.5*$C42*M42</f>
        <v>0</v>
      </c>
      <c r="X42" s="7">
        <f>S42+N42</f>
        <v>21240</v>
      </c>
      <c r="Y42" s="7">
        <f>T42+O42</f>
        <v>21830</v>
      </c>
      <c r="Z42" s="7">
        <f>U42+P42</f>
        <v>22420</v>
      </c>
      <c r="AA42" s="7">
        <f>V42+Q42</f>
        <v>21830</v>
      </c>
      <c r="AB42" s="7">
        <f>W42+R42</f>
        <v>22420</v>
      </c>
      <c r="AC42" s="8">
        <f>SUM(X42:AB42)</f>
        <v>109740</v>
      </c>
    </row>
    <row r="43" spans="1:29" x14ac:dyDescent="0.3">
      <c r="A43" s="17" t="s">
        <v>76</v>
      </c>
      <c r="B43" s="17" t="s">
        <v>77</v>
      </c>
      <c r="C43" s="16">
        <v>640</v>
      </c>
      <c r="D43" s="3">
        <v>47.5</v>
      </c>
      <c r="E43" s="3">
        <v>48</v>
      </c>
      <c r="F43" s="3">
        <v>49</v>
      </c>
      <c r="G43" s="3">
        <v>48</v>
      </c>
      <c r="H43" s="3">
        <v>50</v>
      </c>
      <c r="I43" s="4">
        <f>IF(D43&gt;40,D43-40,0)</f>
        <v>7.5</v>
      </c>
      <c r="J43" s="4">
        <f t="shared" si="5"/>
        <v>8</v>
      </c>
      <c r="K43" s="4">
        <f t="shared" si="6"/>
        <v>9</v>
      </c>
      <c r="L43" s="4">
        <f t="shared" si="7"/>
        <v>8</v>
      </c>
      <c r="M43" s="4">
        <f t="shared" si="7"/>
        <v>10</v>
      </c>
      <c r="N43" s="5">
        <f>C43*D43</f>
        <v>30400</v>
      </c>
      <c r="O43" s="5">
        <f>$C43*E43</f>
        <v>30720</v>
      </c>
      <c r="P43" s="5">
        <f>$C43*F43</f>
        <v>31360</v>
      </c>
      <c r="Q43" s="5">
        <f>$C43*G43</f>
        <v>30720</v>
      </c>
      <c r="R43" s="5">
        <f>$C43*H43</f>
        <v>32000</v>
      </c>
      <c r="S43" s="6">
        <f>0.5*C43*I43</f>
        <v>2400</v>
      </c>
      <c r="T43" s="6">
        <f>0.5*$C43*J43</f>
        <v>2560</v>
      </c>
      <c r="U43" s="6">
        <f>0.5*$C43*K43</f>
        <v>2880</v>
      </c>
      <c r="V43" s="6">
        <f>0.5*$C43*L43</f>
        <v>2560</v>
      </c>
      <c r="W43" s="6">
        <f>0.5*$C43*M43</f>
        <v>3200</v>
      </c>
      <c r="X43" s="7">
        <f>S43+N43</f>
        <v>32800</v>
      </c>
      <c r="Y43" s="7">
        <f>T43+O43</f>
        <v>33280</v>
      </c>
      <c r="Z43" s="7">
        <f>U43+P43</f>
        <v>34240</v>
      </c>
      <c r="AA43" s="7">
        <f>V43+Q43</f>
        <v>33280</v>
      </c>
      <c r="AB43" s="7">
        <f>W43+R43</f>
        <v>35200</v>
      </c>
      <c r="AC43" s="8">
        <f>SUM(X43:AB43)</f>
        <v>168800</v>
      </c>
    </row>
    <row r="44" spans="1:29" x14ac:dyDescent="0.3">
      <c r="A44" s="17" t="s">
        <v>78</v>
      </c>
      <c r="B44" s="17" t="s">
        <v>79</v>
      </c>
      <c r="C44" s="16">
        <v>510</v>
      </c>
      <c r="D44" s="3">
        <v>40.5</v>
      </c>
      <c r="E44" s="3">
        <v>41</v>
      </c>
      <c r="F44" s="3">
        <v>42</v>
      </c>
      <c r="G44" s="3">
        <v>41</v>
      </c>
      <c r="H44" s="3">
        <v>43</v>
      </c>
      <c r="I44" s="4">
        <f>IF(D44&gt;40,D44-40,0)</f>
        <v>0.5</v>
      </c>
      <c r="J44" s="4">
        <f t="shared" si="5"/>
        <v>1</v>
      </c>
      <c r="K44" s="4">
        <f t="shared" si="6"/>
        <v>2</v>
      </c>
      <c r="L44" s="4">
        <f t="shared" si="7"/>
        <v>1</v>
      </c>
      <c r="M44" s="4">
        <f t="shared" si="7"/>
        <v>3</v>
      </c>
      <c r="N44" s="5">
        <f>C44*D44</f>
        <v>20655</v>
      </c>
      <c r="O44" s="5">
        <f>$C44*E44</f>
        <v>20910</v>
      </c>
      <c r="P44" s="5">
        <f>$C44*F44</f>
        <v>21420</v>
      </c>
      <c r="Q44" s="5">
        <f>$C44*G44</f>
        <v>20910</v>
      </c>
      <c r="R44" s="5">
        <f>$C44*H44</f>
        <v>21930</v>
      </c>
      <c r="S44" s="6">
        <f>0.5*C44*I44</f>
        <v>127.5</v>
      </c>
      <c r="T44" s="6">
        <f>0.5*$C44*J44</f>
        <v>255</v>
      </c>
      <c r="U44" s="6">
        <f>0.5*$C44*K44</f>
        <v>510</v>
      </c>
      <c r="V44" s="6">
        <f>0.5*$C44*L44</f>
        <v>255</v>
      </c>
      <c r="W44" s="6">
        <f>0.5*$C44*M44</f>
        <v>765</v>
      </c>
      <c r="X44" s="7">
        <f>S44+N44</f>
        <v>20782.5</v>
      </c>
      <c r="Y44" s="7">
        <f>T44+O44</f>
        <v>21165</v>
      </c>
      <c r="Z44" s="7">
        <f>U44+P44</f>
        <v>21930</v>
      </c>
      <c r="AA44" s="7">
        <f>V44+Q44</f>
        <v>21165</v>
      </c>
      <c r="AB44" s="7">
        <f>W44+R44</f>
        <v>22695</v>
      </c>
      <c r="AC44" s="8">
        <f>SUM(X44:AB44)</f>
        <v>107737.5</v>
      </c>
    </row>
    <row r="45" spans="1:29" x14ac:dyDescent="0.3">
      <c r="A45" s="17" t="s">
        <v>80</v>
      </c>
      <c r="B45" s="17" t="s">
        <v>81</v>
      </c>
      <c r="C45" s="16">
        <v>700</v>
      </c>
      <c r="D45" s="3">
        <v>44</v>
      </c>
      <c r="E45" s="3">
        <v>45</v>
      </c>
      <c r="F45" s="3">
        <v>46</v>
      </c>
      <c r="G45" s="3">
        <v>45</v>
      </c>
      <c r="H45" s="3">
        <v>47</v>
      </c>
      <c r="I45" s="4">
        <f>IF(D45&gt;40,D45-40,0)</f>
        <v>4</v>
      </c>
      <c r="J45" s="4">
        <f t="shared" si="5"/>
        <v>5</v>
      </c>
      <c r="K45" s="4">
        <f t="shared" si="6"/>
        <v>6</v>
      </c>
      <c r="L45" s="4">
        <f t="shared" si="7"/>
        <v>5</v>
      </c>
      <c r="M45" s="4">
        <f t="shared" si="7"/>
        <v>7</v>
      </c>
      <c r="N45" s="5">
        <f>C45*D45</f>
        <v>30800</v>
      </c>
      <c r="O45" s="5">
        <f>$C45*E45</f>
        <v>31500</v>
      </c>
      <c r="P45" s="5">
        <f>$C45*F45</f>
        <v>32200</v>
      </c>
      <c r="Q45" s="5">
        <f>$C45*G45</f>
        <v>31500</v>
      </c>
      <c r="R45" s="5">
        <f>$C45*H45</f>
        <v>32900</v>
      </c>
      <c r="S45" s="6">
        <f>0.5*C45*I45</f>
        <v>1400</v>
      </c>
      <c r="T45" s="6">
        <f>0.5*$C45*J45</f>
        <v>1750</v>
      </c>
      <c r="U45" s="6">
        <f>0.5*$C45*K45</f>
        <v>2100</v>
      </c>
      <c r="V45" s="6">
        <f>0.5*$C45*L45</f>
        <v>1750</v>
      </c>
      <c r="W45" s="6">
        <f>0.5*$C45*M45</f>
        <v>2450</v>
      </c>
      <c r="X45" s="7">
        <f>S45+N45</f>
        <v>32200</v>
      </c>
      <c r="Y45" s="7">
        <f>T45+O45</f>
        <v>33250</v>
      </c>
      <c r="Z45" s="7">
        <f>U45+P45</f>
        <v>34300</v>
      </c>
      <c r="AA45" s="7">
        <f>V45+Q45</f>
        <v>33250</v>
      </c>
      <c r="AB45" s="7">
        <f>W45+R45</f>
        <v>35350</v>
      </c>
      <c r="AC45" s="8">
        <f>SUM(X45:AB45)</f>
        <v>168350</v>
      </c>
    </row>
    <row r="46" spans="1:29" x14ac:dyDescent="0.3">
      <c r="A46" s="1"/>
      <c r="B46" s="1"/>
    </row>
    <row r="47" spans="1:29" ht="18" x14ac:dyDescent="0.3">
      <c r="A47" s="22" t="s">
        <v>83</v>
      </c>
      <c r="C47" s="21">
        <f>MAX(C5:C45)</f>
        <v>800</v>
      </c>
      <c r="D47" s="20">
        <f>MAX(D6:D45)</f>
        <v>48</v>
      </c>
      <c r="E47" s="20">
        <f>MAX(E6:E45)</f>
        <v>49</v>
      </c>
      <c r="F47" s="20">
        <f>MAX(F6:F45)</f>
        <v>50</v>
      </c>
      <c r="G47" s="20">
        <f>MAX(G6:G45)</f>
        <v>49</v>
      </c>
      <c r="H47" s="20">
        <f>MAX(H6:H45)</f>
        <v>51</v>
      </c>
      <c r="I47" s="2"/>
      <c r="J47" s="2"/>
      <c r="K47" s="2"/>
      <c r="L47" s="2"/>
      <c r="M47" s="2"/>
      <c r="N47" s="19">
        <f>MAX(N6:N45)</f>
        <v>38400</v>
      </c>
      <c r="O47" s="19">
        <f>MAX(O6:O45)</f>
        <v>39200</v>
      </c>
      <c r="P47" s="19">
        <f>MAX(P6:P45)</f>
        <v>40000</v>
      </c>
      <c r="Q47" s="19">
        <f>MAX(Q6:Q45)</f>
        <v>39200</v>
      </c>
      <c r="R47" s="19">
        <f>MAX(R6:R45)</f>
        <v>40800</v>
      </c>
      <c r="S47" s="6">
        <f>MAX(S6:S45)</f>
        <v>3200</v>
      </c>
      <c r="T47" s="6">
        <f>MAX(T6:T45)</f>
        <v>3600</v>
      </c>
      <c r="U47" s="6">
        <f>MAX(U6:U45)</f>
        <v>4000</v>
      </c>
      <c r="V47" s="6">
        <f>MAX(V6:V45)</f>
        <v>3600</v>
      </c>
      <c r="W47" s="6">
        <f>MAX(W6:W45)</f>
        <v>4400</v>
      </c>
      <c r="X47" s="18">
        <f>MAX(X6:X45)</f>
        <v>41600</v>
      </c>
      <c r="Y47" s="18">
        <f>MAX(Y6:Y45)</f>
        <v>42800</v>
      </c>
      <c r="Z47" s="18">
        <f>MAX(Z6:Z45)</f>
        <v>44000</v>
      </c>
      <c r="AA47" s="18">
        <f>MAX(AA6:AA45)</f>
        <v>42800</v>
      </c>
      <c r="AB47" s="18">
        <f>MAX(AB6:AB45)</f>
        <v>45200</v>
      </c>
      <c r="AC47" s="5">
        <f>MAX(AC6:AC45)</f>
        <v>216400</v>
      </c>
    </row>
    <row r="48" spans="1:29" ht="18" x14ac:dyDescent="0.3">
      <c r="A48" s="22" t="s">
        <v>84</v>
      </c>
      <c r="C48" s="21">
        <f>MIN(C5:C45)</f>
        <v>450</v>
      </c>
      <c r="D48" s="20">
        <f>MIN(D5:D45)</f>
        <v>34</v>
      </c>
      <c r="E48" s="20">
        <f>MIN(E5:E45)</f>
        <v>35</v>
      </c>
      <c r="F48" s="20">
        <f>MIN(F5:F45)</f>
        <v>36</v>
      </c>
      <c r="G48" s="20">
        <f>MIN(G5:G45)</f>
        <v>35</v>
      </c>
      <c r="H48" s="20">
        <f>MIN(H5:H45)</f>
        <v>36</v>
      </c>
      <c r="I48" s="2"/>
      <c r="J48" s="2"/>
      <c r="K48" s="2"/>
      <c r="L48" s="2"/>
      <c r="M48" s="2"/>
      <c r="N48" s="19">
        <f>MIN(N5:N45)</f>
        <v>16450</v>
      </c>
      <c r="O48" s="19">
        <f>MIN(O5:O45)</f>
        <v>16920</v>
      </c>
      <c r="P48" s="19">
        <f>MIN(P5:P45)</f>
        <v>17390</v>
      </c>
      <c r="Q48" s="19">
        <f>MIN(Q5:Q45)</f>
        <v>16920</v>
      </c>
      <c r="R48" s="19">
        <f>MIN(R5:R45)</f>
        <v>17390</v>
      </c>
      <c r="S48" s="6">
        <f>MIN(S5:S45)</f>
        <v>0</v>
      </c>
      <c r="T48" s="6">
        <f>MIN(T5:T45)</f>
        <v>0</v>
      </c>
      <c r="U48" s="6">
        <f>MIN(U5:U45)</f>
        <v>0</v>
      </c>
      <c r="V48" s="6">
        <f>MIN(V5:V45)</f>
        <v>0</v>
      </c>
      <c r="W48" s="6">
        <f>MIN(W5:W45)</f>
        <v>0</v>
      </c>
      <c r="X48" s="18">
        <f>MIN(X5:X45)</f>
        <v>16450</v>
      </c>
      <c r="Y48" s="18">
        <f>MIN(Y5:Y45)</f>
        <v>16920</v>
      </c>
      <c r="Z48" s="18">
        <f>MIN(Z5:Z45)</f>
        <v>17390</v>
      </c>
      <c r="AA48" s="18">
        <f>MIN(AA5:AA45)</f>
        <v>16920</v>
      </c>
      <c r="AB48" s="18">
        <f>MIN(AB5:AB45)</f>
        <v>17390</v>
      </c>
      <c r="AC48" s="5">
        <f>MIN(AC5:AC45)</f>
        <v>85070</v>
      </c>
    </row>
    <row r="49" spans="1:29" ht="18" x14ac:dyDescent="0.3">
      <c r="A49" s="22" t="s">
        <v>85</v>
      </c>
      <c r="C49" s="21">
        <f>AVERAGE(C5:C45)</f>
        <v>600.25</v>
      </c>
      <c r="D49" s="20">
        <f>AVERAGE(D6:D45)</f>
        <v>40.912500000000001</v>
      </c>
      <c r="E49" s="20">
        <f>AVERAGE(E6:E45)</f>
        <v>41.75</v>
      </c>
      <c r="F49" s="20">
        <f>AVERAGE(F6:F45)</f>
        <v>42.75</v>
      </c>
      <c r="G49" s="20">
        <f>AVERAGE(G6:G45)</f>
        <v>41.725000000000001</v>
      </c>
      <c r="H49" s="20">
        <f>AVERAGE(H6:H45)</f>
        <v>43.325000000000003</v>
      </c>
      <c r="I49" s="2"/>
      <c r="J49" s="2"/>
      <c r="K49" s="2"/>
      <c r="L49" s="2"/>
      <c r="M49" s="2"/>
      <c r="N49" s="19">
        <f>AVERAGE(N6:N45)</f>
        <v>24764.25</v>
      </c>
      <c r="O49" s="19">
        <f>AVERAGE(O6:O45)</f>
        <v>25263.25</v>
      </c>
      <c r="P49" s="19">
        <f>AVERAGE(P6:P45)</f>
        <v>25867</v>
      </c>
      <c r="Q49" s="19">
        <f>AVERAGE(Q6:Q45)</f>
        <v>25251.5</v>
      </c>
      <c r="R49" s="19">
        <f>AVERAGE(R6:R45)</f>
        <v>26232</v>
      </c>
      <c r="S49" s="6">
        <f>AVERAGE(S6:S45)</f>
        <v>668.4375</v>
      </c>
      <c r="T49" s="6">
        <f>AVERAGE(T6:T45)</f>
        <v>833.125</v>
      </c>
      <c r="U49" s="6">
        <f>AVERAGE(U6:U45)</f>
        <v>1054.5</v>
      </c>
      <c r="V49" s="6">
        <f>AVERAGE(V6:V45)</f>
        <v>826.375</v>
      </c>
      <c r="W49" s="6">
        <f>AVERAGE(W6:W45)</f>
        <v>1237</v>
      </c>
      <c r="X49" s="18">
        <f>AVERAGE(X6:X45)</f>
        <v>25432.6875</v>
      </c>
      <c r="Y49" s="18">
        <f>AVERAGE(Y6:Y45)</f>
        <v>26096.375</v>
      </c>
      <c r="Z49" s="18">
        <f>AVERAGE(Z6:Z45)</f>
        <v>26921.5</v>
      </c>
      <c r="AA49" s="18">
        <f>AVERAGE(AA6:AA45)</f>
        <v>26077.875</v>
      </c>
      <c r="AB49" s="18">
        <f>AVERAGE(AB6:AB45)</f>
        <v>27469</v>
      </c>
      <c r="AC49" s="5">
        <f>AVERAGE(AC6:AC45)</f>
        <v>131997.4375</v>
      </c>
    </row>
    <row r="50" spans="1:29" ht="18" x14ac:dyDescent="0.3">
      <c r="A50" s="22" t="s">
        <v>86</v>
      </c>
      <c r="D50" s="3">
        <f>SUM(D6:D45)</f>
        <v>1636.5</v>
      </c>
      <c r="E50" s="3">
        <f>SUM(E6:E45)</f>
        <v>1670</v>
      </c>
      <c r="F50" s="3">
        <f>SUM(F6:F45)</f>
        <v>1710</v>
      </c>
      <c r="G50" s="3">
        <f>SUM(G6:G45)</f>
        <v>1669</v>
      </c>
      <c r="H50" s="3">
        <f>SUM(H6:H45)</f>
        <v>1733</v>
      </c>
      <c r="N50" s="19">
        <f>SUM(N6:N45)</f>
        <v>990570</v>
      </c>
      <c r="O50" s="19">
        <f>SUM(O6:O45)</f>
        <v>1010530</v>
      </c>
      <c r="P50" s="19">
        <f>SUM(P6:P45)</f>
        <v>1034680</v>
      </c>
      <c r="Q50" s="19">
        <f>SUM(Q6:Q45)</f>
        <v>1010060</v>
      </c>
      <c r="R50" s="19">
        <f>SUM(R6:R45)</f>
        <v>1049280</v>
      </c>
      <c r="S50" s="6">
        <f>SUM(S6:S45)</f>
        <v>26737.5</v>
      </c>
      <c r="T50" s="6">
        <f>SUM(T6:T45)</f>
        <v>33325</v>
      </c>
      <c r="U50" s="6">
        <f>SUM(U6:U45)</f>
        <v>42180</v>
      </c>
      <c r="V50" s="6">
        <f>SUM(V6:V45)</f>
        <v>33055</v>
      </c>
      <c r="W50" s="6">
        <f>SUM(W6:W45)</f>
        <v>49480</v>
      </c>
      <c r="X50" s="18">
        <f>SUM(X6:X45)</f>
        <v>1017307.5</v>
      </c>
      <c r="Y50" s="18">
        <f>SUM(Y6:Y45)</f>
        <v>1043855</v>
      </c>
      <c r="Z50" s="18">
        <f>SUM(Z6:Z45)</f>
        <v>1076860</v>
      </c>
      <c r="AA50" s="18">
        <f>SUM(AA6:AA45)</f>
        <v>1043115</v>
      </c>
      <c r="AB50" s="18">
        <f>SUM(AB6:AB45)</f>
        <v>1098760</v>
      </c>
      <c r="AC50" s="5">
        <f>SUM(AC6:AC45)</f>
        <v>5279897.5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Nambur</dc:creator>
  <cp:lastModifiedBy>Harshith Nambur</cp:lastModifiedBy>
  <dcterms:created xsi:type="dcterms:W3CDTF">2026-05-20T09:23:38Z</dcterms:created>
  <dcterms:modified xsi:type="dcterms:W3CDTF">2026-05-20T13:23:47Z</dcterms:modified>
</cp:coreProperties>
</file>